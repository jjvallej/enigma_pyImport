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225"/>
  <workbookPr/>
  <mc:AlternateContent xmlns:mc="http://schemas.openxmlformats.org/markup-compatibility/2006">
    <mc:Choice Requires="x15">
      <x15ac:absPath xmlns:x15ac="http://schemas.microsoft.com/office/spreadsheetml/2010/11/ac" url="Z:\Mayoristas\boletines\mensual\2023\Julio\"/>
    </mc:Choice>
  </mc:AlternateContent>
  <xr:revisionPtr revIDLastSave="0" documentId="13_ncr:1_{41436E6B-B7D8-44B2-86B7-93C682768BBE}" xr6:coauthVersionLast="47" xr6:coauthVersionMax="47" xr10:uidLastSave="{00000000-0000-0000-0000-000000000000}"/>
  <bookViews>
    <workbookView xWindow="-110" yWindow="-110" windowWidth="19420" windowHeight="10420" tabRatio="815" activeTab="3" xr2:uid="{00000000-000D-0000-FFFF-FFFF00000000}"/>
  </bookViews>
  <sheets>
    <sheet name="Índice" sheetId="519" r:id="rId1"/>
    <sheet name="Anexo 1" sheetId="520" r:id="rId2"/>
    <sheet name="Anexo 2" sheetId="521" r:id="rId3"/>
    <sheet name="Anexo 3" sheetId="522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2" i="519" l="1"/>
  <c r="A80" i="520"/>
  <c r="A52" i="521"/>
  <c r="A52" i="522"/>
  <c r="A11" i="519"/>
  <c r="A10" i="519" l="1"/>
</calcChain>
</file>

<file path=xl/sharedStrings.xml><?xml version="1.0" encoding="utf-8"?>
<sst xmlns="http://schemas.openxmlformats.org/spreadsheetml/2006/main" count="386" uniqueCount="94">
  <si>
    <t>Sistema de Información de Precios y Abastecimiento del Sector Agropecuario -SIPSA- 
Precios Mayoristas</t>
  </si>
  <si>
    <t>Precio $/Kg</t>
  </si>
  <si>
    <t>Barranquilla</t>
  </si>
  <si>
    <t>Bogotá</t>
  </si>
  <si>
    <t>Bucaramanga</t>
  </si>
  <si>
    <t>Cartagena</t>
  </si>
  <si>
    <t>Cali</t>
  </si>
  <si>
    <t>Cúcuta</t>
  </si>
  <si>
    <t>Medellín</t>
  </si>
  <si>
    <t>Pereira</t>
  </si>
  <si>
    <t>Precio</t>
  </si>
  <si>
    <t>Var %</t>
  </si>
  <si>
    <t>*Variedad predominante en el mercado</t>
  </si>
  <si>
    <t>** Los precios reportados para los huevos son $/unidad y los del aceite vegetal mezcla $/litro.</t>
  </si>
  <si>
    <t>n.d.: no disponible</t>
  </si>
  <si>
    <t xml:space="preserve"> -: no es posible calcular la variación</t>
  </si>
  <si>
    <t>Comportamiento de los precios mayoristas de los principales alimentos en las principales ocho ciudades.</t>
  </si>
  <si>
    <t>Hortalizas y verduras</t>
  </si>
  <si>
    <t>Ahuyama</t>
  </si>
  <si>
    <t>Arveja verde en vaina</t>
  </si>
  <si>
    <t>Cebolla cabezona blanca</t>
  </si>
  <si>
    <t>Cebolla junca</t>
  </si>
  <si>
    <t>Chócolo mazorca</t>
  </si>
  <si>
    <t>Habichuela</t>
  </si>
  <si>
    <t>Lechuga Batavia</t>
  </si>
  <si>
    <t>Pepino cohombro</t>
  </si>
  <si>
    <t>Pimentón</t>
  </si>
  <si>
    <t>Remolacha</t>
  </si>
  <si>
    <t>Tomate*</t>
  </si>
  <si>
    <t>Zanahoria</t>
  </si>
  <si>
    <t>Frutas frescas</t>
  </si>
  <si>
    <t>Banano*</t>
  </si>
  <si>
    <t>Coco</t>
  </si>
  <si>
    <t>Granadilla</t>
  </si>
  <si>
    <t>Guayaba pera</t>
  </si>
  <si>
    <t>Lulo</t>
  </si>
  <si>
    <t>Mandarina*</t>
  </si>
  <si>
    <t>Mango Tommy</t>
  </si>
  <si>
    <t>Maracuyá</t>
  </si>
  <si>
    <t>Mora de Castilla</t>
  </si>
  <si>
    <t>Naranja Valencia</t>
  </si>
  <si>
    <t>Piña *</t>
  </si>
  <si>
    <t>Tomate de árbol</t>
  </si>
  <si>
    <t>Tubérculos y plátanos</t>
  </si>
  <si>
    <t>Arracacha*</t>
  </si>
  <si>
    <t>Papa negra*</t>
  </si>
  <si>
    <t>Plátano hartón verde</t>
  </si>
  <si>
    <t>Yuca*</t>
  </si>
  <si>
    <t>SISTEMA DE INFORMACIÓN DE PRECIOS Y ABASTECIMIENTO DEL SECTOR AGROPECUARIO 
-SIPSA- 
PRECIOS MAYORISTAS</t>
  </si>
  <si>
    <t>Aguacate papelillo</t>
  </si>
  <si>
    <t>Var%: Variación porcentual con respecto al promedio del mes anterior. Dado que la variedad predominante en el mercado puede 
cambiar de un período a otro, las variaciones reportadas pueden obedecer a estos cambios, al igual que el mercado reportado en cada ciudad.</t>
  </si>
  <si>
    <t>Producto</t>
  </si>
  <si>
    <t>Limón común</t>
  </si>
  <si>
    <t>Manzana verde importada</t>
  </si>
  <si>
    <t>Papaya Maradol</t>
  </si>
  <si>
    <t>Papa criolla</t>
  </si>
  <si>
    <t>Var%: Variación porcentual con respecto al promedio del mismo mes del año anterior</t>
  </si>
  <si>
    <t>Var%: Variación porcentual en lo corrido del año</t>
  </si>
  <si>
    <t>Limón Tahití</t>
  </si>
  <si>
    <t>Papaya*</t>
  </si>
  <si>
    <t>Uva red globe nacional</t>
  </si>
  <si>
    <t>Papa criolla limpia</t>
  </si>
  <si>
    <t>Granos, cárnicos y procesados</t>
  </si>
  <si>
    <t>Arroz de primera</t>
  </si>
  <si>
    <t>Arveja verde seca importada</t>
  </si>
  <si>
    <t>Fríjol seco*</t>
  </si>
  <si>
    <t>Garbanzo importado</t>
  </si>
  <si>
    <t>Lenteja importada</t>
  </si>
  <si>
    <t>Maíz blanco trillado</t>
  </si>
  <si>
    <t>Carne de cerdo, costilla</t>
  </si>
  <si>
    <t>Carne de res, lomo fino</t>
  </si>
  <si>
    <t>Pechuga de pollo</t>
  </si>
  <si>
    <t>Aceite vegetal mezcla**</t>
  </si>
  <si>
    <t>Azúcar sulfitada</t>
  </si>
  <si>
    <t>Galletas saladas</t>
  </si>
  <si>
    <t>Harina de trigo</t>
  </si>
  <si>
    <t>Harina precocida de maíz</t>
  </si>
  <si>
    <t>Jugo instantáneo (sobre)</t>
  </si>
  <si>
    <t>Lomitos de atún en lata</t>
  </si>
  <si>
    <t>Margarina</t>
  </si>
  <si>
    <t>Panela*</t>
  </si>
  <si>
    <t>Pastas alimenticias</t>
  </si>
  <si>
    <t>Salsa de tomate doy pack</t>
  </si>
  <si>
    <t>Sardinas en lata</t>
  </si>
  <si>
    <t>Huevo tipo A**</t>
  </si>
  <si>
    <t>Fecha de actualización: 9 de agosto de 2023</t>
  </si>
  <si>
    <t>Julio de 2023</t>
  </si>
  <si>
    <t>Variación mensual. Julio de 2023</t>
  </si>
  <si>
    <t>Variación año corrido. Julio de 2023</t>
  </si>
  <si>
    <t>Variación anual. Julio de 2023</t>
  </si>
  <si>
    <t>Sal yodada</t>
  </si>
  <si>
    <t>n.d.</t>
  </si>
  <si>
    <t>-</t>
  </si>
  <si>
    <t>Queso cuajada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</si>
</sst>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 * #,##0.00_ ;_ * \-#,##0.00_ ;_ * &quot;-&quot;??_ ;_ @_ "/>
    <numFmt numFmtId="165" formatCode="_-* #,##0.00\ _P_t_s_-;\-* #,##0.00\ _P_t_s_-;_-* &quot;-&quot;??\ _P_t_s_-;_-@_-"/>
    <numFmt numFmtId="166" formatCode="_-* #,##0.00\ [$€]_-;\-* #,##0.00\ [$€]_-;_-* &quot;-&quot;??\ [$€]_-;_-@_-"/>
    <numFmt numFmtId="167" formatCode="_(* #,##0_);_(* \(#,##0\);_(* &quot;-&quot;??_);_(@_)"/>
  </numFmts>
  <fonts count="32" x14ac:knownFonts="1">
    <font>
      <sz val="10"/>
      <name val="Arial"/>
    </font>
    <font>
      <sz val="10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9"/>
      <name val="Segoe UI"/>
      <family val="2"/>
    </font>
    <font>
      <b/>
      <sz val="16"/>
      <color theme="0"/>
      <name val="Segoe UI"/>
      <family val="2"/>
    </font>
    <font>
      <b/>
      <sz val="10"/>
      <name val="Segoe UI"/>
      <family val="2"/>
    </font>
    <font>
      <sz val="10"/>
      <name val="Segoe UI"/>
      <family val="2"/>
    </font>
    <font>
      <b/>
      <sz val="8"/>
      <name val="Segoe UI"/>
      <family val="2"/>
    </font>
    <font>
      <b/>
      <sz val="8"/>
      <color theme="1"/>
      <name val="Segoe UI"/>
      <family val="2"/>
    </font>
    <font>
      <sz val="8"/>
      <name val="Segoe UI"/>
      <family val="2"/>
    </font>
    <font>
      <sz val="8"/>
      <color theme="1"/>
      <name val="Segoe UI"/>
      <family val="2"/>
    </font>
    <font>
      <sz val="10"/>
      <color theme="4" tint="-0.249977111117893"/>
      <name val="Segoe UI"/>
      <family val="2"/>
    </font>
    <font>
      <b/>
      <sz val="14"/>
      <color theme="0"/>
      <name val="Segoe UI"/>
      <family val="2"/>
    </font>
    <font>
      <b/>
      <sz val="12"/>
      <name val="Segoe UI"/>
      <family val="2"/>
    </font>
    <font>
      <sz val="11"/>
      <name val="Segoe UI"/>
      <family val="2"/>
    </font>
    <font>
      <b/>
      <sz val="9"/>
      <name val="Segoe UI"/>
      <family val="2"/>
    </font>
    <font>
      <b/>
      <sz val="9"/>
      <color theme="1"/>
      <name val="Segoe UI"/>
      <family val="2"/>
    </font>
    <font>
      <sz val="9"/>
      <color theme="1"/>
      <name val="Segoe UI"/>
      <family val="2"/>
    </font>
  </fonts>
  <fills count="3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2F2F2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B6004B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6">
    <xf numFmtId="0" fontId="0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8" fillId="20" borderId="4" applyNumberFormat="0" applyAlignment="0" applyProtection="0"/>
    <xf numFmtId="0" fontId="9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11" fillId="27" borderId="4" applyNumberFormat="0" applyAlignment="0" applyProtection="0"/>
    <xf numFmtId="166" fontId="1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0" fontId="12" fillId="28" borderId="0" applyNumberFormat="0" applyBorder="0" applyAlignment="0" applyProtection="0"/>
    <xf numFmtId="165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13" fillId="29" borderId="0" applyNumberFormat="0" applyBorder="0" applyAlignment="0" applyProtection="0"/>
    <xf numFmtId="0" fontId="6" fillId="0" borderId="0"/>
    <xf numFmtId="0" fontId="6" fillId="30" borderId="6" applyNumberFormat="0" applyFont="0" applyAlignment="0" applyProtection="0"/>
    <xf numFmtId="9" fontId="4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4" fillId="20" borderId="7" applyNumberFormat="0" applyAlignment="0" applyProtection="0"/>
    <xf numFmtId="0" fontId="15" fillId="0" borderId="0" applyNumberFormat="0" applyFill="0" applyBorder="0" applyAlignment="0" applyProtection="0"/>
    <xf numFmtId="0" fontId="16" fillId="0" borderId="8" applyNumberFormat="0" applyFill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8">
    <xf numFmtId="0" fontId="0" fillId="0" borderId="0" xfId="0"/>
    <xf numFmtId="0" fontId="17" fillId="0" borderId="0" xfId="0" applyFont="1"/>
    <xf numFmtId="0" fontId="19" fillId="33" borderId="0" xfId="0" applyFont="1" applyFill="1" applyAlignment="1">
      <alignment vertical="center"/>
    </xf>
    <xf numFmtId="0" fontId="19" fillId="33" borderId="0" xfId="0" applyFont="1" applyFill="1" applyAlignment="1">
      <alignment vertical="center" wrapText="1"/>
    </xf>
    <xf numFmtId="0" fontId="20" fillId="0" borderId="0" xfId="0" applyFont="1"/>
    <xf numFmtId="167" fontId="21" fillId="0" borderId="2" xfId="33" applyNumberFormat="1" applyFont="1" applyFill="1" applyBorder="1" applyAlignment="1">
      <alignment horizontal="center"/>
    </xf>
    <xf numFmtId="167" fontId="24" fillId="0" borderId="0" xfId="33" applyNumberFormat="1" applyFont="1" applyAlignment="1">
      <alignment horizontal="right"/>
    </xf>
    <xf numFmtId="2" fontId="24" fillId="0" borderId="0" xfId="33" applyNumberFormat="1" applyFont="1" applyAlignment="1">
      <alignment horizontal="right"/>
    </xf>
    <xf numFmtId="0" fontId="22" fillId="0" borderId="0" xfId="0" applyFont="1"/>
    <xf numFmtId="0" fontId="20" fillId="31" borderId="0" xfId="0" applyFont="1" applyFill="1"/>
    <xf numFmtId="0" fontId="28" fillId="31" borderId="0" xfId="0" applyFont="1" applyFill="1" applyAlignment="1">
      <alignment vertical="center"/>
    </xf>
    <xf numFmtId="0" fontId="25" fillId="32" borderId="0" xfId="0" applyFont="1" applyFill="1"/>
    <xf numFmtId="0" fontId="20" fillId="32" borderId="0" xfId="0" applyFont="1" applyFill="1"/>
    <xf numFmtId="0" fontId="19" fillId="31" borderId="0" xfId="0" applyFont="1" applyFill="1"/>
    <xf numFmtId="0" fontId="25" fillId="31" borderId="0" xfId="0" applyFont="1" applyFill="1"/>
    <xf numFmtId="0" fontId="23" fillId="0" borderId="0" xfId="0" applyFont="1"/>
    <xf numFmtId="0" fontId="17" fillId="0" borderId="0" xfId="0" applyFont="1" applyAlignment="1">
      <alignment horizontal="right"/>
    </xf>
    <xf numFmtId="0" fontId="19" fillId="33" borderId="0" xfId="0" applyFont="1" applyFill="1" applyAlignment="1">
      <alignment horizontal="right" vertical="center" wrapText="1"/>
    </xf>
    <xf numFmtId="0" fontId="20" fillId="0" borderId="0" xfId="0" applyFont="1" applyAlignment="1">
      <alignment horizontal="right"/>
    </xf>
    <xf numFmtId="0" fontId="2" fillId="31" borderId="0" xfId="31" quotePrefix="1" applyFill="1" applyBorder="1" applyAlignment="1" applyProtection="1">
      <alignment vertical="center"/>
    </xf>
    <xf numFmtId="4" fontId="21" fillId="0" borderId="2" xfId="33" applyNumberFormat="1" applyFont="1" applyFill="1" applyBorder="1" applyAlignment="1">
      <alignment horizontal="center"/>
    </xf>
    <xf numFmtId="0" fontId="23" fillId="33" borderId="0" xfId="36" applyFont="1" applyFill="1"/>
    <xf numFmtId="3" fontId="24" fillId="33" borderId="0" xfId="34" applyNumberFormat="1" applyFont="1" applyFill="1" applyBorder="1" applyAlignment="1">
      <alignment horizontal="right"/>
    </xf>
    <xf numFmtId="3" fontId="24" fillId="33" borderId="0" xfId="34" applyNumberFormat="1" applyFont="1" applyFill="1" applyBorder="1" applyAlignment="1">
      <alignment horizontal="right" vertical="center"/>
    </xf>
    <xf numFmtId="0" fontId="23" fillId="0" borderId="0" xfId="36" applyFont="1"/>
    <xf numFmtId="3" fontId="24" fillId="0" borderId="0" xfId="34" applyNumberFormat="1" applyFont="1" applyFill="1" applyBorder="1" applyAlignment="1">
      <alignment horizontal="center"/>
    </xf>
    <xf numFmtId="3" fontId="24" fillId="0" borderId="0" xfId="34" applyNumberFormat="1" applyFont="1" applyFill="1" applyBorder="1" applyAlignment="1">
      <alignment horizontal="right"/>
    </xf>
    <xf numFmtId="3" fontId="24" fillId="0" borderId="0" xfId="34" applyNumberFormat="1" applyFont="1" applyFill="1" applyBorder="1" applyAlignment="1">
      <alignment horizontal="right" vertical="center"/>
    </xf>
    <xf numFmtId="3" fontId="24" fillId="33" borderId="0" xfId="34" applyNumberFormat="1" applyFont="1" applyFill="1" applyBorder="1" applyAlignment="1">
      <alignment horizontal="center" vertical="center"/>
    </xf>
    <xf numFmtId="3" fontId="24" fillId="0" borderId="0" xfId="34" applyNumberFormat="1" applyFont="1" applyFill="1" applyBorder="1" applyAlignment="1">
      <alignment horizontal="right" vertical="justify"/>
    </xf>
    <xf numFmtId="3" fontId="24" fillId="0" borderId="0" xfId="34" applyNumberFormat="1" applyFont="1" applyFill="1" applyBorder="1" applyAlignment="1">
      <alignment horizontal="center" vertical="center"/>
    </xf>
    <xf numFmtId="0" fontId="24" fillId="0" borderId="0" xfId="34" applyNumberFormat="1" applyFont="1" applyFill="1" applyBorder="1" applyAlignment="1">
      <alignment horizontal="center" vertical="center"/>
    </xf>
    <xf numFmtId="0" fontId="23" fillId="0" borderId="2" xfId="36" applyFont="1" applyBorder="1"/>
    <xf numFmtId="3" fontId="24" fillId="0" borderId="2" xfId="34" applyNumberFormat="1" applyFont="1" applyFill="1" applyBorder="1" applyAlignment="1">
      <alignment horizontal="right"/>
    </xf>
    <xf numFmtId="3" fontId="24" fillId="0" borderId="0" xfId="0" applyNumberFormat="1" applyFont="1" applyAlignment="1">
      <alignment horizontal="right"/>
    </xf>
    <xf numFmtId="0" fontId="23" fillId="33" borderId="0" xfId="0" applyFont="1" applyFill="1"/>
    <xf numFmtId="3" fontId="24" fillId="33" borderId="0" xfId="0" applyNumberFormat="1" applyFont="1" applyFill="1" applyAlignment="1">
      <alignment horizontal="right"/>
    </xf>
    <xf numFmtId="167" fontId="24" fillId="0" borderId="0" xfId="34" applyNumberFormat="1" applyFont="1" applyFill="1" applyBorder="1" applyAlignment="1">
      <alignment horizontal="right"/>
    </xf>
    <xf numFmtId="2" fontId="24" fillId="0" borderId="0" xfId="34" applyNumberFormat="1" applyFont="1" applyFill="1" applyBorder="1" applyAlignment="1">
      <alignment horizontal="right"/>
    </xf>
    <xf numFmtId="0" fontId="24" fillId="0" borderId="0" xfId="34" applyNumberFormat="1" applyFont="1" applyFill="1" applyBorder="1" applyAlignment="1">
      <alignment horizontal="right" vertical="center"/>
    </xf>
    <xf numFmtId="0" fontId="20" fillId="0" borderId="0" xfId="36" applyFont="1"/>
    <xf numFmtId="167" fontId="24" fillId="0" borderId="0" xfId="34" applyNumberFormat="1" applyFont="1" applyAlignment="1">
      <alignment horizontal="right"/>
    </xf>
    <xf numFmtId="2" fontId="24" fillId="0" borderId="0" xfId="34" applyNumberFormat="1" applyFont="1" applyAlignment="1">
      <alignment horizontal="right"/>
    </xf>
    <xf numFmtId="0" fontId="23" fillId="0" borderId="0" xfId="36" applyFont="1" applyAlignment="1">
      <alignment vertical="center"/>
    </xf>
    <xf numFmtId="0" fontId="23" fillId="0" borderId="0" xfId="36" applyFont="1" applyAlignment="1">
      <alignment horizontal="right"/>
    </xf>
    <xf numFmtId="2" fontId="23" fillId="0" borderId="0" xfId="34" applyNumberFormat="1" applyFont="1" applyFill="1" applyAlignment="1">
      <alignment horizontal="right"/>
    </xf>
    <xf numFmtId="167" fontId="21" fillId="0" borderId="0" xfId="34" applyNumberFormat="1" applyFont="1" applyFill="1" applyAlignment="1">
      <alignment horizontal="right"/>
    </xf>
    <xf numFmtId="167" fontId="23" fillId="0" borderId="0" xfId="34" applyNumberFormat="1" applyFont="1" applyFill="1" applyAlignment="1">
      <alignment horizontal="right"/>
    </xf>
    <xf numFmtId="2" fontId="21" fillId="0" borderId="0" xfId="34" applyNumberFormat="1" applyFont="1" applyFill="1" applyAlignment="1">
      <alignment horizontal="right"/>
    </xf>
    <xf numFmtId="0" fontId="24" fillId="0" borderId="0" xfId="36" applyFont="1"/>
    <xf numFmtId="0" fontId="17" fillId="0" borderId="0" xfId="43" applyFont="1"/>
    <xf numFmtId="0" fontId="19" fillId="33" borderId="0" xfId="43" applyFont="1" applyFill="1" applyAlignment="1">
      <alignment vertical="center"/>
    </xf>
    <xf numFmtId="0" fontId="29" fillId="33" borderId="0" xfId="43" applyFont="1" applyFill="1" applyAlignment="1">
      <alignment vertical="center" wrapText="1"/>
    </xf>
    <xf numFmtId="0" fontId="29" fillId="0" borderId="1" xfId="43" applyFont="1" applyBorder="1" applyAlignment="1">
      <alignment horizontal="center" vertical="center"/>
    </xf>
    <xf numFmtId="10" fontId="29" fillId="0" borderId="1" xfId="44" applyNumberFormat="1" applyFont="1" applyFill="1" applyBorder="1" applyAlignment="1">
      <alignment horizontal="center"/>
    </xf>
    <xf numFmtId="10" fontId="30" fillId="0" borderId="1" xfId="44" applyNumberFormat="1" applyFont="1" applyFill="1" applyBorder="1" applyAlignment="1">
      <alignment horizontal="center"/>
    </xf>
    <xf numFmtId="0" fontId="20" fillId="0" borderId="0" xfId="43" applyFont="1"/>
    <xf numFmtId="0" fontId="29" fillId="33" borderId="0" xfId="43" applyFont="1" applyFill="1" applyAlignment="1">
      <alignment horizontal="centerContinuous"/>
    </xf>
    <xf numFmtId="4" fontId="31" fillId="0" borderId="0" xfId="33" applyNumberFormat="1" applyFont="1" applyFill="1" applyBorder="1" applyAlignment="1">
      <alignment horizontal="right"/>
    </xf>
    <xf numFmtId="0" fontId="17" fillId="33" borderId="0" xfId="43" applyFont="1" applyFill="1"/>
    <xf numFmtId="4" fontId="31" fillId="33" borderId="0" xfId="33" applyNumberFormat="1" applyFont="1" applyFill="1" applyBorder="1" applyAlignment="1">
      <alignment horizontal="right"/>
    </xf>
    <xf numFmtId="4" fontId="31" fillId="33" borderId="0" xfId="33" applyNumberFormat="1" applyFont="1" applyFill="1" applyBorder="1" applyAlignment="1">
      <alignment horizontal="right" vertical="justify"/>
    </xf>
    <xf numFmtId="4" fontId="31" fillId="0" borderId="0" xfId="33" applyNumberFormat="1" applyFont="1" applyFill="1" applyBorder="1" applyAlignment="1">
      <alignment horizontal="right" vertical="center"/>
    </xf>
    <xf numFmtId="0" fontId="17" fillId="33" borderId="2" xfId="43" applyFont="1" applyFill="1" applyBorder="1"/>
    <xf numFmtId="4" fontId="31" fillId="33" borderId="2" xfId="33" applyNumberFormat="1" applyFont="1" applyFill="1" applyBorder="1" applyAlignment="1">
      <alignment horizontal="right"/>
    </xf>
    <xf numFmtId="4" fontId="31" fillId="33" borderId="0" xfId="33" applyNumberFormat="1" applyFont="1" applyFill="1" applyBorder="1" applyAlignment="1">
      <alignment horizontal="right" vertical="center"/>
    </xf>
    <xf numFmtId="4" fontId="31" fillId="0" borderId="0" xfId="33" applyNumberFormat="1" applyFont="1" applyFill="1" applyBorder="1" applyAlignment="1" applyProtection="1">
      <alignment horizontal="right"/>
    </xf>
    <xf numFmtId="4" fontId="31" fillId="33" borderId="2" xfId="33" applyNumberFormat="1" applyFont="1" applyFill="1" applyBorder="1" applyAlignment="1">
      <alignment horizontal="right" vertical="center"/>
    </xf>
    <xf numFmtId="0" fontId="17" fillId="0" borderId="2" xfId="43" applyFont="1" applyBorder="1"/>
    <xf numFmtId="4" fontId="31" fillId="0" borderId="2" xfId="33" applyNumberFormat="1" applyFont="1" applyFill="1" applyBorder="1" applyAlignment="1">
      <alignment horizontal="right"/>
    </xf>
    <xf numFmtId="0" fontId="23" fillId="0" borderId="0" xfId="43" applyFont="1"/>
    <xf numFmtId="10" fontId="17" fillId="0" borderId="0" xfId="45" applyNumberFormat="1" applyFont="1" applyFill="1" applyAlignment="1">
      <alignment horizontal="right"/>
    </xf>
    <xf numFmtId="10" fontId="29" fillId="0" borderId="0" xfId="45" applyNumberFormat="1" applyFont="1" applyFill="1" applyAlignment="1">
      <alignment horizontal="right"/>
    </xf>
    <xf numFmtId="0" fontId="23" fillId="0" borderId="0" xfId="43" applyFont="1" applyAlignment="1">
      <alignment vertical="center"/>
    </xf>
    <xf numFmtId="0" fontId="23" fillId="0" borderId="0" xfId="43" applyFont="1" applyAlignment="1">
      <alignment horizontal="left"/>
    </xf>
    <xf numFmtId="0" fontId="24" fillId="0" borderId="0" xfId="43" applyFont="1"/>
    <xf numFmtId="10" fontId="24" fillId="0" borderId="0" xfId="45" applyNumberFormat="1" applyFont="1" applyAlignment="1">
      <alignment horizontal="right"/>
    </xf>
    <xf numFmtId="0" fontId="22" fillId="0" borderId="0" xfId="43" applyFont="1"/>
    <xf numFmtId="10" fontId="29" fillId="0" borderId="1" xfId="45" applyNumberFormat="1" applyFont="1" applyFill="1" applyBorder="1" applyAlignment="1">
      <alignment horizontal="center"/>
    </xf>
    <xf numFmtId="10" fontId="30" fillId="0" borderId="1" xfId="45" applyNumberFormat="1" applyFont="1" applyFill="1" applyBorder="1" applyAlignment="1">
      <alignment horizontal="center"/>
    </xf>
    <xf numFmtId="4" fontId="24" fillId="0" borderId="0" xfId="33" applyNumberFormat="1" applyFont="1" applyFill="1" applyBorder="1" applyAlignment="1">
      <alignment horizontal="right"/>
    </xf>
    <xf numFmtId="167" fontId="24" fillId="33" borderId="0" xfId="33" applyNumberFormat="1" applyFont="1" applyFill="1" applyBorder="1" applyAlignment="1">
      <alignment horizontal="center" vertical="center"/>
    </xf>
    <xf numFmtId="0" fontId="24" fillId="33" borderId="0" xfId="0" applyFont="1" applyFill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31" fillId="33" borderId="0" xfId="33" applyNumberFormat="1" applyFont="1" applyFill="1" applyBorder="1" applyAlignment="1" applyProtection="1">
      <alignment horizontal="center" vertical="center"/>
    </xf>
    <xf numFmtId="0" fontId="31" fillId="0" borderId="0" xfId="33" applyNumberFormat="1" applyFont="1" applyFill="1" applyBorder="1" applyAlignment="1" applyProtection="1">
      <alignment horizontal="center" vertical="center"/>
    </xf>
    <xf numFmtId="0" fontId="31" fillId="0" borderId="0" xfId="33" applyNumberFormat="1" applyFont="1" applyFill="1" applyBorder="1" applyAlignment="1">
      <alignment horizontal="center" vertical="center"/>
    </xf>
    <xf numFmtId="0" fontId="31" fillId="33" borderId="0" xfId="33" applyNumberFormat="1" applyFont="1" applyFill="1" applyBorder="1" applyAlignment="1">
      <alignment horizontal="center" vertical="center"/>
    </xf>
    <xf numFmtId="2" fontId="31" fillId="33" borderId="0" xfId="33" applyNumberFormat="1" applyFont="1" applyFill="1" applyBorder="1" applyAlignment="1" applyProtection="1">
      <alignment horizontal="right" vertical="justify"/>
    </xf>
    <xf numFmtId="4" fontId="31" fillId="33" borderId="2" xfId="33" applyNumberFormat="1" applyFont="1" applyFill="1" applyBorder="1" applyAlignment="1">
      <alignment horizontal="right" vertical="justify"/>
    </xf>
    <xf numFmtId="0" fontId="24" fillId="33" borderId="0" xfId="34" applyNumberFormat="1" applyFont="1" applyFill="1" applyBorder="1" applyAlignment="1">
      <alignment horizontal="right" vertical="center"/>
    </xf>
    <xf numFmtId="4" fontId="24" fillId="33" borderId="0" xfId="34" applyNumberFormat="1" applyFont="1" applyFill="1" applyBorder="1" applyAlignment="1">
      <alignment horizontal="right"/>
    </xf>
    <xf numFmtId="4" fontId="24" fillId="33" borderId="0" xfId="34" applyNumberFormat="1" applyFont="1" applyFill="1" applyBorder="1" applyAlignment="1">
      <alignment horizontal="right" vertical="center"/>
    </xf>
    <xf numFmtId="4" fontId="24" fillId="0" borderId="0" xfId="34" applyNumberFormat="1" applyFont="1" applyFill="1" applyBorder="1" applyAlignment="1">
      <alignment horizontal="right" vertical="center"/>
    </xf>
    <xf numFmtId="4" fontId="24" fillId="0" borderId="0" xfId="34" applyNumberFormat="1" applyFont="1" applyFill="1" applyBorder="1" applyAlignment="1">
      <alignment horizontal="right"/>
    </xf>
    <xf numFmtId="4" fontId="24" fillId="0" borderId="2" xfId="34" applyNumberFormat="1" applyFont="1" applyFill="1" applyBorder="1" applyAlignment="1">
      <alignment horizontal="right"/>
    </xf>
    <xf numFmtId="4" fontId="24" fillId="0" borderId="0" xfId="34" applyNumberFormat="1" applyFont="1" applyFill="1" applyBorder="1" applyAlignment="1">
      <alignment horizontal="right" vertical="justify"/>
    </xf>
    <xf numFmtId="4" fontId="24" fillId="33" borderId="0" xfId="0" applyNumberFormat="1" applyFont="1" applyFill="1" applyAlignment="1">
      <alignment horizontal="right"/>
    </xf>
    <xf numFmtId="4" fontId="24" fillId="0" borderId="0" xfId="0" applyNumberFormat="1" applyFont="1" applyAlignment="1">
      <alignment horizontal="right"/>
    </xf>
    <xf numFmtId="4" fontId="24" fillId="33" borderId="0" xfId="0" applyNumberFormat="1" applyFont="1" applyFill="1" applyAlignment="1">
      <alignment horizontal="right" vertical="center"/>
    </xf>
    <xf numFmtId="4" fontId="24" fillId="0" borderId="0" xfId="0" applyNumberFormat="1" applyFont="1" applyAlignment="1">
      <alignment horizontal="right" vertical="center"/>
    </xf>
    <xf numFmtId="0" fontId="20" fillId="0" borderId="0" xfId="36" applyFont="1" applyAlignment="1">
      <alignment horizontal="right"/>
    </xf>
    <xf numFmtId="3" fontId="24" fillId="0" borderId="2" xfId="34" applyNumberFormat="1" applyFont="1" applyFill="1" applyBorder="1" applyAlignment="1">
      <alignment horizontal="center" vertical="center"/>
    </xf>
    <xf numFmtId="3" fontId="24" fillId="0" borderId="2" xfId="34" applyNumberFormat="1" applyFont="1" applyFill="1" applyBorder="1" applyAlignment="1">
      <alignment horizontal="right" vertical="center"/>
    </xf>
    <xf numFmtId="3" fontId="24" fillId="33" borderId="0" xfId="0" applyNumberFormat="1" applyFont="1" applyFill="1" applyAlignment="1">
      <alignment horizontal="center" vertical="center"/>
    </xf>
    <xf numFmtId="0" fontId="17" fillId="33" borderId="0" xfId="0" applyFont="1" applyFill="1"/>
    <xf numFmtId="0" fontId="17" fillId="33" borderId="2" xfId="0" applyFont="1" applyFill="1" applyBorder="1"/>
    <xf numFmtId="0" fontId="17" fillId="0" borderId="2" xfId="0" applyFont="1" applyBorder="1"/>
    <xf numFmtId="0" fontId="17" fillId="0" borderId="0" xfId="36" applyFont="1"/>
    <xf numFmtId="0" fontId="24" fillId="0" borderId="0" xfId="34" applyNumberFormat="1" applyFont="1" applyFill="1" applyBorder="1" applyAlignment="1">
      <alignment horizontal="right"/>
    </xf>
    <xf numFmtId="0" fontId="20" fillId="31" borderId="0" xfId="36" applyFont="1" applyFill="1"/>
    <xf numFmtId="0" fontId="24" fillId="33" borderId="0" xfId="0" applyFont="1" applyFill="1" applyAlignment="1">
      <alignment horizontal="right" vertical="center"/>
    </xf>
    <xf numFmtId="3" fontId="24" fillId="33" borderId="0" xfId="34" applyNumberFormat="1" applyFont="1" applyFill="1" applyBorder="1" applyAlignment="1">
      <alignment horizontal="right" vertical="justify"/>
    </xf>
    <xf numFmtId="4" fontId="24" fillId="33" borderId="0" xfId="34" applyNumberFormat="1" applyFont="1" applyFill="1" applyBorder="1" applyAlignment="1">
      <alignment horizontal="right" vertical="justify"/>
    </xf>
    <xf numFmtId="3" fontId="24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right" vertical="center"/>
    </xf>
    <xf numFmtId="0" fontId="31" fillId="33" borderId="2" xfId="33" applyNumberFormat="1" applyFont="1" applyFill="1" applyBorder="1" applyAlignment="1">
      <alignment horizontal="center" vertical="center"/>
    </xf>
    <xf numFmtId="4" fontId="24" fillId="0" borderId="2" xfId="34" applyNumberFormat="1" applyFont="1" applyFill="1" applyBorder="1" applyAlignment="1">
      <alignment horizontal="right" vertical="center"/>
    </xf>
    <xf numFmtId="3" fontId="24" fillId="0" borderId="0" xfId="34" applyNumberFormat="1" applyFont="1" applyFill="1" applyBorder="1" applyAlignment="1">
      <alignment horizontal="center" vertical="justify"/>
    </xf>
    <xf numFmtId="3" fontId="24" fillId="0" borderId="0" xfId="0" applyNumberFormat="1" applyFont="1" applyAlignment="1">
      <alignment horizontal="center"/>
    </xf>
    <xf numFmtId="3" fontId="24" fillId="33" borderId="0" xfId="0" applyNumberFormat="1" applyFont="1" applyFill="1" applyAlignment="1">
      <alignment horizontal="center"/>
    </xf>
    <xf numFmtId="3" fontId="24" fillId="0" borderId="0" xfId="0" applyNumberFormat="1" applyFont="1" applyAlignment="1">
      <alignment horizontal="right" vertical="center"/>
    </xf>
    <xf numFmtId="4" fontId="24" fillId="0" borderId="0" xfId="0" applyNumberFormat="1" applyFont="1" applyAlignment="1">
      <alignment horizontal="center"/>
    </xf>
    <xf numFmtId="2" fontId="24" fillId="33" borderId="0" xfId="34" applyNumberFormat="1" applyFont="1" applyFill="1" applyBorder="1" applyAlignment="1">
      <alignment horizontal="center" vertical="center"/>
    </xf>
    <xf numFmtId="2" fontId="24" fillId="0" borderId="0" xfId="34" applyNumberFormat="1" applyFont="1" applyFill="1" applyBorder="1" applyAlignment="1">
      <alignment horizontal="center" vertical="center"/>
    </xf>
    <xf numFmtId="2" fontId="24" fillId="0" borderId="2" xfId="34" applyNumberFormat="1" applyFont="1" applyFill="1" applyBorder="1" applyAlignment="1">
      <alignment horizontal="center" vertical="center"/>
    </xf>
    <xf numFmtId="2" fontId="24" fillId="33" borderId="0" xfId="0" applyNumberFormat="1" applyFont="1" applyFill="1" applyAlignment="1">
      <alignment horizontal="center" vertical="center"/>
    </xf>
    <xf numFmtId="2" fontId="24" fillId="0" borderId="0" xfId="0" applyNumberFormat="1" applyFont="1" applyAlignment="1">
      <alignment horizontal="center" vertical="center"/>
    </xf>
    <xf numFmtId="3" fontId="24" fillId="33" borderId="0" xfId="0" applyNumberFormat="1" applyFont="1" applyFill="1" applyAlignment="1">
      <alignment horizontal="right" vertical="center"/>
    </xf>
    <xf numFmtId="0" fontId="21" fillId="33" borderId="3" xfId="0" applyFont="1" applyFill="1" applyBorder="1" applyAlignment="1">
      <alignment horizontal="centerContinuous"/>
    </xf>
    <xf numFmtId="4" fontId="21" fillId="33" borderId="3" xfId="0" applyNumberFormat="1" applyFont="1" applyFill="1" applyBorder="1" applyAlignment="1">
      <alignment horizontal="centerContinuous"/>
    </xf>
    <xf numFmtId="0" fontId="21" fillId="32" borderId="9" xfId="0" applyFont="1" applyFill="1" applyBorder="1" applyAlignment="1">
      <alignment horizontal="centerContinuous"/>
    </xf>
    <xf numFmtId="0" fontId="21" fillId="32" borderId="1" xfId="0" applyFont="1" applyFill="1" applyBorder="1" applyAlignment="1">
      <alignment horizontal="centerContinuous"/>
    </xf>
    <xf numFmtId="4" fontId="21" fillId="32" borderId="1" xfId="0" applyNumberFormat="1" applyFont="1" applyFill="1" applyBorder="1" applyAlignment="1">
      <alignment horizontal="centerContinuous"/>
    </xf>
    <xf numFmtId="4" fontId="31" fillId="33" borderId="2" xfId="33" applyNumberFormat="1" applyFont="1" applyFill="1" applyBorder="1" applyAlignment="1">
      <alignment horizontal="center" vertical="center"/>
    </xf>
    <xf numFmtId="4" fontId="31" fillId="33" borderId="0" xfId="33" applyNumberFormat="1" applyFont="1" applyFill="1" applyBorder="1" applyAlignment="1">
      <alignment horizontal="center" vertical="center"/>
    </xf>
    <xf numFmtId="2" fontId="24" fillId="33" borderId="0" xfId="0" applyNumberFormat="1" applyFont="1" applyFill="1" applyAlignment="1">
      <alignment horizontal="right" vertical="center"/>
    </xf>
    <xf numFmtId="4" fontId="31" fillId="0" borderId="0" xfId="33" applyNumberFormat="1" applyFont="1" applyFill="1" applyBorder="1" applyAlignment="1">
      <alignment horizontal="center" vertical="center"/>
    </xf>
    <xf numFmtId="0" fontId="23" fillId="33" borderId="2" xfId="0" applyFont="1" applyFill="1" applyBorder="1"/>
    <xf numFmtId="3" fontId="24" fillId="33" borderId="2" xfId="0" applyNumberFormat="1" applyFont="1" applyFill="1" applyBorder="1" applyAlignment="1">
      <alignment horizontal="right"/>
    </xf>
    <xf numFmtId="4" fontId="24" fillId="33" borderId="2" xfId="0" applyNumberFormat="1" applyFont="1" applyFill="1" applyBorder="1" applyAlignment="1">
      <alignment horizontal="right"/>
    </xf>
    <xf numFmtId="3" fontId="24" fillId="33" borderId="2" xfId="0" applyNumberFormat="1" applyFont="1" applyFill="1" applyBorder="1" applyAlignment="1">
      <alignment horizontal="right" vertical="center"/>
    </xf>
    <xf numFmtId="4" fontId="24" fillId="33" borderId="2" xfId="0" applyNumberFormat="1" applyFont="1" applyFill="1" applyBorder="1" applyAlignment="1">
      <alignment horizontal="right" vertical="center"/>
    </xf>
    <xf numFmtId="3" fontId="24" fillId="33" borderId="2" xfId="0" applyNumberFormat="1" applyFont="1" applyFill="1" applyBorder="1" applyAlignment="1">
      <alignment horizontal="center"/>
    </xf>
    <xf numFmtId="2" fontId="24" fillId="33" borderId="2" xfId="0" applyNumberFormat="1" applyFont="1" applyFill="1" applyBorder="1" applyAlignment="1">
      <alignment horizontal="center" vertical="center"/>
    </xf>
    <xf numFmtId="0" fontId="24" fillId="33" borderId="2" xfId="0" applyFont="1" applyFill="1" applyBorder="1" applyAlignment="1">
      <alignment horizontal="right" vertical="center"/>
    </xf>
    <xf numFmtId="4" fontId="29" fillId="33" borderId="0" xfId="33" applyNumberFormat="1" applyFont="1" applyFill="1" applyBorder="1" applyAlignment="1">
      <alignment horizontal="right"/>
    </xf>
    <xf numFmtId="0" fontId="27" fillId="32" borderId="0" xfId="0" applyFont="1" applyFill="1" applyAlignment="1">
      <alignment horizontal="center" vertical="center" wrapText="1"/>
    </xf>
    <xf numFmtId="0" fontId="25" fillId="31" borderId="0" xfId="0" applyFont="1" applyFill="1" applyAlignment="1">
      <alignment horizontal="center"/>
    </xf>
    <xf numFmtId="0" fontId="26" fillId="34" borderId="0" xfId="0" applyFont="1" applyFill="1" applyAlignment="1">
      <alignment horizontal="center" vertical="center" wrapText="1"/>
    </xf>
    <xf numFmtId="0" fontId="23" fillId="0" borderId="0" xfId="36" applyFont="1" applyAlignment="1">
      <alignment horizontal="left" vertical="center" wrapText="1"/>
    </xf>
    <xf numFmtId="0" fontId="23" fillId="0" borderId="0" xfId="36" applyFont="1" applyAlignment="1">
      <alignment horizontal="left" vertical="center"/>
    </xf>
    <xf numFmtId="0" fontId="18" fillId="34" borderId="0" xfId="0" applyFont="1" applyFill="1" applyAlignment="1">
      <alignment horizontal="center" vertical="center" wrapText="1"/>
    </xf>
    <xf numFmtId="167" fontId="22" fillId="0" borderId="1" xfId="33" applyNumberFormat="1" applyFont="1" applyFill="1" applyBorder="1" applyAlignment="1">
      <alignment horizontal="center"/>
    </xf>
    <xf numFmtId="167" fontId="21" fillId="0" borderId="1" xfId="33" applyNumberFormat="1" applyFont="1" applyFill="1" applyBorder="1" applyAlignment="1">
      <alignment horizontal="center"/>
    </xf>
    <xf numFmtId="0" fontId="21" fillId="0" borderId="3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18" fillId="34" borderId="0" xfId="43" applyFont="1" applyFill="1" applyAlignment="1">
      <alignment horizontal="center" vertical="center" wrapText="1"/>
    </xf>
  </cellXfs>
  <cellStyles count="46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Cálculo 2" xfId="19" xr:uid="{00000000-0005-0000-0000-000012000000}"/>
    <cellStyle name="Celda vinculada" xfId="20" builtinId="24" customBuiltin="1"/>
    <cellStyle name="Encabezado 4" xfId="21" builtinId="19" customBuiltin="1"/>
    <cellStyle name="Énfasis1" xfId="22" builtinId="29" customBuiltin="1"/>
    <cellStyle name="Énfasis2" xfId="23" builtinId="33" customBuiltin="1"/>
    <cellStyle name="Énfasis3" xfId="24" builtinId="37" customBuiltin="1"/>
    <cellStyle name="Énfasis4" xfId="25" builtinId="41" customBuiltin="1"/>
    <cellStyle name="Énfasis5" xfId="26" builtinId="45" customBuiltin="1"/>
    <cellStyle name="Énfasis6" xfId="27" builtinId="49" customBuiltin="1"/>
    <cellStyle name="Entrada" xfId="28" builtinId="20" customBuiltin="1"/>
    <cellStyle name="Euro" xfId="29" xr:uid="{00000000-0005-0000-0000-00001C000000}"/>
    <cellStyle name="Euro 2" xfId="30" xr:uid="{00000000-0005-0000-0000-00001D000000}"/>
    <cellStyle name="Hipervínculo" xfId="31" builtinId="8"/>
    <cellStyle name="Incorrecto" xfId="32" builtinId="27" customBuiltin="1"/>
    <cellStyle name="Millares" xfId="33" builtinId="3"/>
    <cellStyle name="Millares 2" xfId="34" xr:uid="{00000000-0005-0000-0000-000021000000}"/>
    <cellStyle name="Neutral" xfId="35" builtinId="28" customBuiltin="1"/>
    <cellStyle name="Normal" xfId="0" builtinId="0"/>
    <cellStyle name="Normal 2" xfId="36" xr:uid="{00000000-0005-0000-0000-000024000000}"/>
    <cellStyle name="Normal 3" xfId="43" xr:uid="{674C42A4-B064-4353-9D04-968834AD136F}"/>
    <cellStyle name="Notas 2" xfId="37" xr:uid="{00000000-0005-0000-0000-000025000000}"/>
    <cellStyle name="Porcentaje 2" xfId="38" xr:uid="{00000000-0005-0000-0000-000026000000}"/>
    <cellStyle name="Porcentaje 2 2" xfId="45" xr:uid="{D14C4C04-AF22-4D25-B65E-B19B91AE0366}"/>
    <cellStyle name="Porcentaje 3" xfId="39" xr:uid="{00000000-0005-0000-0000-000027000000}"/>
    <cellStyle name="Porcentaje 4" xfId="44" xr:uid="{CF6C299B-C562-4F38-84BF-B1724B9C16BA}"/>
    <cellStyle name="Salida 2" xfId="40" xr:uid="{00000000-0005-0000-0000-000029000000}"/>
    <cellStyle name="Título" xfId="41" builtinId="15" customBuiltin="1"/>
    <cellStyle name="Total" xfId="42" builtinId="25" customBuiltin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DDDDD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117923</xdr:colOff>
      <xdr:row>0</xdr:row>
      <xdr:rowOff>117922</xdr:rowOff>
    </xdr:from>
    <xdr:to>
      <xdr:col>11</xdr:col>
      <xdr:colOff>794799</xdr:colOff>
      <xdr:row>3</xdr:row>
      <xdr:rowOff>226786</xdr:rowOff>
    </xdr:to>
    <xdr:grpSp>
      <xdr:nvGrpSpPr>
        <xdr:cNvPr id="6" name="Grupo 5">
          <a:extLst>
            <a:ext uri="{FF2B5EF4-FFF2-40B4-BE49-F238E27FC236}">
              <a16:creationId xmlns:a16="http://schemas.microsoft.com/office/drawing/2014/main" id="{CEEC6EB7-7ADB-436F-8C3F-FADB2ADDD33C}"/>
            </a:ext>
          </a:extLst>
        </xdr:cNvPr>
        <xdr:cNvGrpSpPr>
          <a:grpSpLocks noChangeAspect="1"/>
        </xdr:cNvGrpSpPr>
      </xdr:nvGrpSpPr>
      <xdr:grpSpPr>
        <a:xfrm>
          <a:off x="117923" y="117922"/>
          <a:ext cx="9276590" cy="952507"/>
          <a:chOff x="0" y="266700"/>
          <a:chExt cx="7123723" cy="730250"/>
        </a:xfrm>
      </xdr:grpSpPr>
      <xdr:pic>
        <xdr:nvPicPr>
          <xdr:cNvPr id="7" name="Imagen 12">
            <a:extLst>
              <a:ext uri="{FF2B5EF4-FFF2-40B4-BE49-F238E27FC236}">
                <a16:creationId xmlns:a16="http://schemas.microsoft.com/office/drawing/2014/main" id="{EC5C623D-E846-7844-B31F-7ED4E0C818EE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815" t="45454" r="978" b="19910"/>
          <a:stretch>
            <a:fillRect/>
          </a:stretch>
        </xdr:blipFill>
        <xdr:spPr bwMode="auto">
          <a:xfrm>
            <a:off x="0" y="958850"/>
            <a:ext cx="7123723" cy="3810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grpSp>
        <xdr:nvGrpSpPr>
          <xdr:cNvPr id="8" name="Grupo 2">
            <a:extLst>
              <a:ext uri="{FF2B5EF4-FFF2-40B4-BE49-F238E27FC236}">
                <a16:creationId xmlns:a16="http://schemas.microsoft.com/office/drawing/2014/main" id="{F8178EC5-9CAC-6CAF-6EA6-F5870B77C91C}"/>
              </a:ext>
            </a:extLst>
          </xdr:cNvPr>
          <xdr:cNvGrpSpPr>
            <a:grpSpLocks/>
          </xdr:cNvGrpSpPr>
        </xdr:nvGrpSpPr>
        <xdr:grpSpPr bwMode="auto">
          <a:xfrm>
            <a:off x="298450" y="266700"/>
            <a:ext cx="6505819" cy="450850"/>
            <a:chOff x="288407" y="266700"/>
            <a:chExt cx="6183074" cy="447675"/>
          </a:xfrm>
        </xdr:grpSpPr>
        <xdr:pic>
          <xdr:nvPicPr>
            <xdr:cNvPr id="9" name="Imagen 17">
              <a:extLst>
                <a:ext uri="{FF2B5EF4-FFF2-40B4-BE49-F238E27FC236}">
                  <a16:creationId xmlns:a16="http://schemas.microsoft.com/office/drawing/2014/main" id="{6C708EB2-DBDC-7983-BB8E-AA47F03ADFF7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2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288407" y="266700"/>
              <a:ext cx="1286422" cy="447675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0" name="Imagen 17">
              <a:extLst>
                <a:ext uri="{FF2B5EF4-FFF2-40B4-BE49-F238E27FC236}">
                  <a16:creationId xmlns:a16="http://schemas.microsoft.com/office/drawing/2014/main" id="{7E4BEB52-017D-46F1-C03B-5F47D8FEBF39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4944941" y="349685"/>
              <a:ext cx="1526540" cy="339046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</xdr:grp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500707</xdr:colOff>
      <xdr:row>0</xdr:row>
      <xdr:rowOff>104588</xdr:rowOff>
    </xdr:from>
    <xdr:to>
      <xdr:col>15</xdr:col>
      <xdr:colOff>463656</xdr:colOff>
      <xdr:row>2</xdr:row>
      <xdr:rowOff>87540</xdr:rowOff>
    </xdr:to>
    <xdr:grpSp>
      <xdr:nvGrpSpPr>
        <xdr:cNvPr id="10" name="Grupo 2">
          <a:extLst>
            <a:ext uri="{FF2B5EF4-FFF2-40B4-BE49-F238E27FC236}">
              <a16:creationId xmlns:a16="http://schemas.microsoft.com/office/drawing/2014/main" id="{1021EF70-7003-007D-7BA1-87F939C793D9}"/>
            </a:ext>
          </a:extLst>
        </xdr:cNvPr>
        <xdr:cNvGrpSpPr>
          <a:grpSpLocks/>
        </xdr:cNvGrpSpPr>
      </xdr:nvGrpSpPr>
      <xdr:grpSpPr bwMode="auto">
        <a:xfrm>
          <a:off x="500707" y="104588"/>
          <a:ext cx="8471949" cy="588070"/>
          <a:chOff x="288407" y="266700"/>
          <a:chExt cx="6183074" cy="447675"/>
        </a:xfrm>
      </xdr:grpSpPr>
      <xdr:pic>
        <xdr:nvPicPr>
          <xdr:cNvPr id="11" name="Imagen 17">
            <a:extLst>
              <a:ext uri="{FF2B5EF4-FFF2-40B4-BE49-F238E27FC236}">
                <a16:creationId xmlns:a16="http://schemas.microsoft.com/office/drawing/2014/main" id="{1C937E0F-64E9-2D24-660F-9C3D5B9E0358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88407" y="266700"/>
            <a:ext cx="1286422" cy="4476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12" name="Imagen 17">
            <a:extLst>
              <a:ext uri="{FF2B5EF4-FFF2-40B4-BE49-F238E27FC236}">
                <a16:creationId xmlns:a16="http://schemas.microsoft.com/office/drawing/2014/main" id="{0C339337-463A-FBA5-9942-8D1C7714A837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44941" y="349685"/>
            <a:ext cx="1526540" cy="33904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88900</xdr:colOff>
      <xdr:row>0</xdr:row>
      <xdr:rowOff>38100</xdr:rowOff>
    </xdr:from>
    <xdr:to>
      <xdr:col>8</xdr:col>
      <xdr:colOff>368300</xdr:colOff>
      <xdr:row>2</xdr:row>
      <xdr:rowOff>199487</xdr:rowOff>
    </xdr:to>
    <xdr:grpSp>
      <xdr:nvGrpSpPr>
        <xdr:cNvPr id="15" name="Grupo 14">
          <a:extLst>
            <a:ext uri="{FF2B5EF4-FFF2-40B4-BE49-F238E27FC236}">
              <a16:creationId xmlns:a16="http://schemas.microsoft.com/office/drawing/2014/main" id="{33E7A293-BC0B-4ED0-8546-0DEBF4682A2F}"/>
            </a:ext>
          </a:extLst>
        </xdr:cNvPr>
        <xdr:cNvGrpSpPr>
          <a:grpSpLocks noChangeAspect="1"/>
        </xdr:cNvGrpSpPr>
      </xdr:nvGrpSpPr>
      <xdr:grpSpPr>
        <a:xfrm>
          <a:off x="88900" y="38100"/>
          <a:ext cx="7385050" cy="758287"/>
          <a:chOff x="0" y="266700"/>
          <a:chExt cx="7123723" cy="730250"/>
        </a:xfrm>
      </xdr:grpSpPr>
      <xdr:pic>
        <xdr:nvPicPr>
          <xdr:cNvPr id="16" name="Imagen 12">
            <a:extLst>
              <a:ext uri="{FF2B5EF4-FFF2-40B4-BE49-F238E27FC236}">
                <a16:creationId xmlns:a16="http://schemas.microsoft.com/office/drawing/2014/main" id="{EA0DD57E-7193-3BEE-CB67-C81AA8F97077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815" t="45454" r="978" b="19910"/>
          <a:stretch>
            <a:fillRect/>
          </a:stretch>
        </xdr:blipFill>
        <xdr:spPr bwMode="auto">
          <a:xfrm>
            <a:off x="0" y="958850"/>
            <a:ext cx="7123723" cy="3810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grpSp>
        <xdr:nvGrpSpPr>
          <xdr:cNvPr id="17" name="Grupo 2">
            <a:extLst>
              <a:ext uri="{FF2B5EF4-FFF2-40B4-BE49-F238E27FC236}">
                <a16:creationId xmlns:a16="http://schemas.microsoft.com/office/drawing/2014/main" id="{46B72749-D285-92D3-F2C0-CFA78E681CE3}"/>
              </a:ext>
            </a:extLst>
          </xdr:cNvPr>
          <xdr:cNvGrpSpPr>
            <a:grpSpLocks/>
          </xdr:cNvGrpSpPr>
        </xdr:nvGrpSpPr>
        <xdr:grpSpPr bwMode="auto">
          <a:xfrm>
            <a:off x="298450" y="266700"/>
            <a:ext cx="6505819" cy="450850"/>
            <a:chOff x="288407" y="266700"/>
            <a:chExt cx="6183074" cy="447675"/>
          </a:xfrm>
        </xdr:grpSpPr>
        <xdr:pic>
          <xdr:nvPicPr>
            <xdr:cNvPr id="18" name="Imagen 17">
              <a:extLst>
                <a:ext uri="{FF2B5EF4-FFF2-40B4-BE49-F238E27FC236}">
                  <a16:creationId xmlns:a16="http://schemas.microsoft.com/office/drawing/2014/main" id="{016C2388-C9C4-5B8B-4102-5001224A19AA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2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288407" y="266700"/>
              <a:ext cx="1286422" cy="447675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9" name="Imagen 17">
              <a:extLst>
                <a:ext uri="{FF2B5EF4-FFF2-40B4-BE49-F238E27FC236}">
                  <a16:creationId xmlns:a16="http://schemas.microsoft.com/office/drawing/2014/main" id="{115F2CE1-17A8-8D24-3038-181DAF7E033E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4944941" y="349685"/>
              <a:ext cx="1526540" cy="339046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</xdr:grp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107950</xdr:colOff>
      <xdr:row>0</xdr:row>
      <xdr:rowOff>76200</xdr:rowOff>
    </xdr:from>
    <xdr:to>
      <xdr:col>8</xdr:col>
      <xdr:colOff>387350</xdr:colOff>
      <xdr:row>2</xdr:row>
      <xdr:rowOff>237587</xdr:rowOff>
    </xdr:to>
    <xdr:grpSp>
      <xdr:nvGrpSpPr>
        <xdr:cNvPr id="6" name="Grupo 5">
          <a:extLst>
            <a:ext uri="{FF2B5EF4-FFF2-40B4-BE49-F238E27FC236}">
              <a16:creationId xmlns:a16="http://schemas.microsoft.com/office/drawing/2014/main" id="{5B455CDB-D2F6-4F18-BDE1-2532F17BA7AA}"/>
            </a:ext>
          </a:extLst>
        </xdr:cNvPr>
        <xdr:cNvGrpSpPr>
          <a:grpSpLocks noChangeAspect="1"/>
        </xdr:cNvGrpSpPr>
      </xdr:nvGrpSpPr>
      <xdr:grpSpPr>
        <a:xfrm>
          <a:off x="107950" y="76200"/>
          <a:ext cx="7385050" cy="758287"/>
          <a:chOff x="0" y="266700"/>
          <a:chExt cx="7123723" cy="730250"/>
        </a:xfrm>
      </xdr:grpSpPr>
      <xdr:pic>
        <xdr:nvPicPr>
          <xdr:cNvPr id="7" name="Imagen 12">
            <a:extLst>
              <a:ext uri="{FF2B5EF4-FFF2-40B4-BE49-F238E27FC236}">
                <a16:creationId xmlns:a16="http://schemas.microsoft.com/office/drawing/2014/main" id="{D586A040-2928-89F1-707A-592DD3604598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815" t="45454" r="978" b="19910"/>
          <a:stretch>
            <a:fillRect/>
          </a:stretch>
        </xdr:blipFill>
        <xdr:spPr bwMode="auto">
          <a:xfrm>
            <a:off x="0" y="958850"/>
            <a:ext cx="7123723" cy="3810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grpSp>
        <xdr:nvGrpSpPr>
          <xdr:cNvPr id="8" name="Grupo 2">
            <a:extLst>
              <a:ext uri="{FF2B5EF4-FFF2-40B4-BE49-F238E27FC236}">
                <a16:creationId xmlns:a16="http://schemas.microsoft.com/office/drawing/2014/main" id="{2E16A003-F81F-F962-DF86-630EA1F81D68}"/>
              </a:ext>
            </a:extLst>
          </xdr:cNvPr>
          <xdr:cNvGrpSpPr>
            <a:grpSpLocks/>
          </xdr:cNvGrpSpPr>
        </xdr:nvGrpSpPr>
        <xdr:grpSpPr bwMode="auto">
          <a:xfrm>
            <a:off x="298450" y="266700"/>
            <a:ext cx="6505819" cy="450850"/>
            <a:chOff x="288407" y="266700"/>
            <a:chExt cx="6183074" cy="447675"/>
          </a:xfrm>
        </xdr:grpSpPr>
        <xdr:pic>
          <xdr:nvPicPr>
            <xdr:cNvPr id="9" name="Imagen 17">
              <a:extLst>
                <a:ext uri="{FF2B5EF4-FFF2-40B4-BE49-F238E27FC236}">
                  <a16:creationId xmlns:a16="http://schemas.microsoft.com/office/drawing/2014/main" id="{9E50893B-FE6C-939B-63E0-8D151A00DFC6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2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288407" y="266700"/>
              <a:ext cx="1286422" cy="447675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0" name="Imagen 17">
              <a:extLst>
                <a:ext uri="{FF2B5EF4-FFF2-40B4-BE49-F238E27FC236}">
                  <a16:creationId xmlns:a16="http://schemas.microsoft.com/office/drawing/2014/main" id="{B1104D91-35E8-6668-7F2A-C5504ED7EC51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4944941" y="349685"/>
              <a:ext cx="1526540" cy="339046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</xdr:grpSp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N19"/>
  <sheetViews>
    <sheetView showGridLines="0" zoomScale="70" zoomScaleNormal="70" workbookViewId="0">
      <selection activeCell="A10" sqref="A10"/>
    </sheetView>
  </sheetViews>
  <sheetFormatPr baseColWidth="10" defaultColWidth="11.453125" defaultRowHeight="16" x14ac:dyDescent="0.45"/>
  <cols>
    <col min="1" max="1" width="6.26953125" style="14" customWidth="1"/>
    <col min="2" max="2" width="11.453125" style="9"/>
    <col min="3" max="3" width="14" style="9" customWidth="1"/>
    <col min="4" max="16384" width="11.453125" style="9"/>
  </cols>
  <sheetData>
    <row r="1" spans="1:14" ht="22" customHeight="1" x14ac:dyDescent="0.45">
      <c r="A1" s="148"/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</row>
    <row r="2" spans="1:14" ht="22" customHeight="1" x14ac:dyDescent="0.45">
      <c r="A2" s="148"/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/>
    </row>
    <row r="3" spans="1:14" ht="22" customHeight="1" x14ac:dyDescent="0.45">
      <c r="A3" s="148"/>
      <c r="B3" s="148"/>
      <c r="C3" s="148"/>
      <c r="D3" s="148"/>
      <c r="E3" s="148"/>
      <c r="F3" s="148"/>
      <c r="G3" s="148"/>
      <c r="H3" s="148"/>
      <c r="I3" s="148"/>
      <c r="J3" s="148"/>
      <c r="K3" s="148"/>
      <c r="L3" s="148"/>
      <c r="N3" s="4"/>
    </row>
    <row r="4" spans="1:14" ht="22" customHeight="1" x14ac:dyDescent="0.45">
      <c r="A4" s="148"/>
      <c r="B4" s="148"/>
      <c r="C4" s="148"/>
      <c r="D4" s="148"/>
      <c r="E4" s="148"/>
      <c r="F4" s="148"/>
      <c r="G4" s="148"/>
      <c r="H4" s="148"/>
      <c r="I4" s="148"/>
      <c r="J4" s="148"/>
      <c r="K4" s="148"/>
      <c r="L4" s="148"/>
    </row>
    <row r="5" spans="1:14" ht="36" customHeight="1" x14ac:dyDescent="0.45">
      <c r="A5" s="149" t="s">
        <v>48</v>
      </c>
      <c r="B5" s="149"/>
      <c r="C5" s="149"/>
      <c r="D5" s="149"/>
      <c r="E5" s="149"/>
      <c r="F5" s="149"/>
      <c r="G5" s="149"/>
      <c r="H5" s="149"/>
      <c r="I5" s="149"/>
      <c r="J5" s="149"/>
      <c r="K5" s="149"/>
      <c r="L5" s="149"/>
    </row>
    <row r="6" spans="1:14" ht="31.5" customHeight="1" x14ac:dyDescent="0.45">
      <c r="A6" s="149"/>
      <c r="B6" s="149"/>
      <c r="C6" s="149"/>
      <c r="D6" s="149"/>
      <c r="E6" s="149"/>
      <c r="F6" s="149"/>
      <c r="G6" s="149"/>
      <c r="H6" s="149"/>
      <c r="I6" s="149"/>
      <c r="J6" s="149"/>
      <c r="K6" s="149"/>
      <c r="L6" s="149"/>
    </row>
    <row r="7" spans="1:14" x14ac:dyDescent="0.45">
      <c r="A7" s="147" t="s">
        <v>86</v>
      </c>
      <c r="B7" s="147"/>
      <c r="C7" s="147"/>
      <c r="D7" s="147"/>
      <c r="E7" s="147"/>
      <c r="F7" s="147"/>
      <c r="G7" s="147"/>
      <c r="H7" s="147"/>
      <c r="I7" s="147"/>
      <c r="J7" s="147"/>
      <c r="K7" s="147"/>
      <c r="L7" s="147"/>
    </row>
    <row r="8" spans="1:14" ht="15" customHeight="1" x14ac:dyDescent="0.45">
      <c r="A8" s="147"/>
      <c r="B8" s="147"/>
      <c r="C8" s="147"/>
      <c r="D8" s="147"/>
      <c r="E8" s="147"/>
      <c r="F8" s="147"/>
      <c r="G8" s="147"/>
      <c r="H8" s="147"/>
      <c r="I8" s="147"/>
      <c r="J8" s="147"/>
      <c r="K8" s="147"/>
      <c r="L8" s="147"/>
    </row>
    <row r="9" spans="1:14" x14ac:dyDescent="0.45">
      <c r="A9" s="147"/>
      <c r="B9" s="147"/>
      <c r="C9" s="147"/>
      <c r="D9" s="147"/>
      <c r="E9" s="147"/>
      <c r="F9" s="147"/>
      <c r="G9" s="147"/>
      <c r="H9" s="147"/>
      <c r="I9" s="147"/>
      <c r="J9" s="147"/>
      <c r="K9" s="147"/>
      <c r="L9" s="147"/>
    </row>
    <row r="10" spans="1:14" s="10" customFormat="1" ht="31.5" customHeight="1" x14ac:dyDescent="0.25">
      <c r="A10" s="19" t="str">
        <f>+"Anexo 1. "&amp;'Anexo 1'!A6&amp;" "&amp;'Anexo 1'!A7</f>
        <v>Anexo 1. Comportamiento de los precios mayoristas de los principales alimentos en las principales ocho ciudades. Variación mensual. Julio de 2023</v>
      </c>
    </row>
    <row r="11" spans="1:14" s="10" customFormat="1" ht="31.5" customHeight="1" x14ac:dyDescent="0.25">
      <c r="A11" s="19" t="str">
        <f>+"Anexo 2. "&amp;'Anexo 2'!A6&amp;" "&amp;'Anexo 2'!A7</f>
        <v>Anexo 2. Comportamiento de los precios mayoristas de los principales alimentos en las principales ocho ciudades. Variación año corrido. Julio de 2023</v>
      </c>
    </row>
    <row r="12" spans="1:14" s="10" customFormat="1" ht="31.5" customHeight="1" x14ac:dyDescent="0.25">
      <c r="A12" s="19" t="str">
        <f>+"Anexo 3. "&amp;'Anexo 3'!A6&amp;" "&amp;'Anexo 3'!A7</f>
        <v>Anexo 3. Comportamiento de los precios mayoristas de los principales alimentos en las principales ocho ciudades. Variación anual. Julio de 2023</v>
      </c>
    </row>
    <row r="13" spans="1:14" x14ac:dyDescent="0.45">
      <c r="A13" s="11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</row>
    <row r="14" spans="1:14" ht="18.75" customHeight="1" x14ac:dyDescent="0.45">
      <c r="A14" s="13" t="s">
        <v>85</v>
      </c>
    </row>
    <row r="15" spans="1:14" s="4" customFormat="1" ht="30" customHeight="1" x14ac:dyDescent="0.45"/>
    <row r="16" spans="1:14" s="4" customFormat="1" ht="32.25" customHeight="1" x14ac:dyDescent="0.45"/>
    <row r="17" spans="1:1" s="4" customFormat="1" ht="34.5" customHeight="1" x14ac:dyDescent="0.45"/>
    <row r="18" spans="1:1" s="4" customFormat="1" x14ac:dyDescent="0.45"/>
    <row r="19" spans="1:1" x14ac:dyDescent="0.45">
      <c r="A19" s="9"/>
    </row>
  </sheetData>
  <mergeCells count="3">
    <mergeCell ref="A7:L9"/>
    <mergeCell ref="A1:L4"/>
    <mergeCell ref="A5:L6"/>
  </mergeCells>
  <phoneticPr fontId="3" type="noConversion"/>
  <hyperlinks>
    <hyperlink ref="A10" location="'Anexo 1'!A1" display="'Anexo 1'!A1" xr:uid="{00000000-0004-0000-0000-000000000000}"/>
    <hyperlink ref="A11" location="'Anexo 1'!A1" display="'Anexo 1'!A1" xr:uid="{549AA18A-F416-4462-A600-6B2E456340C2}"/>
    <hyperlink ref="A12" location="'Anexo 1'!A1" display="'Anexo 1'!A1" xr:uid="{0B4092F7-A9A7-4AEB-82ED-D56014BF70B6}"/>
  </hyperlinks>
  <pageMargins left="0.7" right="0.7" top="0.75" bottom="0.75" header="0.3" footer="0.3"/>
  <pageSetup scale="5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80"/>
  <sheetViews>
    <sheetView showGridLines="0" topLeftCell="A4" zoomScale="85" zoomScaleNormal="85" workbookViewId="0">
      <selection activeCell="A4" sqref="A4:Q5"/>
    </sheetView>
  </sheetViews>
  <sheetFormatPr baseColWidth="10" defaultColWidth="11.453125" defaultRowHeight="16" x14ac:dyDescent="0.45"/>
  <cols>
    <col min="1" max="1" width="24.453125" style="4" customWidth="1"/>
    <col min="2" max="2" width="7.1796875" style="4" customWidth="1"/>
    <col min="3" max="3" width="6.7265625" style="18" customWidth="1"/>
    <col min="4" max="4" width="7.1796875" style="4" customWidth="1"/>
    <col min="5" max="5" width="6.7265625" style="18" customWidth="1"/>
    <col min="6" max="6" width="7.1796875" style="4" customWidth="1"/>
    <col min="7" max="7" width="6.7265625" style="18" customWidth="1"/>
    <col min="8" max="8" width="7.1796875" style="4" customWidth="1"/>
    <col min="9" max="9" width="6.7265625" style="18" customWidth="1"/>
    <col min="10" max="10" width="7.1796875" style="4" customWidth="1"/>
    <col min="11" max="11" width="6.7265625" style="18" customWidth="1"/>
    <col min="12" max="12" width="7.1796875" style="4" customWidth="1"/>
    <col min="13" max="13" width="6.7265625" style="18" customWidth="1"/>
    <col min="14" max="14" width="7.1796875" style="4" customWidth="1"/>
    <col min="15" max="15" width="6.7265625" style="18" customWidth="1"/>
    <col min="16" max="16" width="7.1796875" style="4" customWidth="1"/>
    <col min="17" max="17" width="6.7265625" style="18" customWidth="1"/>
    <col min="18" max="16384" width="11.453125" style="4"/>
  </cols>
  <sheetData>
    <row r="1" spans="1:17" s="1" customFormat="1" ht="14" x14ac:dyDescent="0.4">
      <c r="C1" s="16"/>
      <c r="E1" s="16"/>
      <c r="G1" s="16"/>
      <c r="I1" s="16"/>
      <c r="K1" s="16"/>
      <c r="M1" s="16"/>
      <c r="O1" s="16"/>
      <c r="Q1" s="16"/>
    </row>
    <row r="2" spans="1:17" s="1" customFormat="1" ht="33.75" customHeight="1" x14ac:dyDescent="0.4">
      <c r="C2" s="16"/>
      <c r="E2" s="16"/>
      <c r="G2" s="16"/>
      <c r="I2" s="16"/>
      <c r="K2" s="16"/>
      <c r="M2" s="16"/>
      <c r="O2" s="16"/>
      <c r="Q2" s="16"/>
    </row>
    <row r="3" spans="1:17" s="1" customFormat="1" ht="40.5" customHeight="1" x14ac:dyDescent="0.4">
      <c r="C3" s="16"/>
      <c r="E3" s="16"/>
      <c r="G3" s="16"/>
      <c r="I3" s="16"/>
      <c r="K3" s="16"/>
      <c r="M3" s="16"/>
      <c r="O3" s="16"/>
      <c r="Q3" s="16"/>
    </row>
    <row r="4" spans="1:17" s="1" customFormat="1" ht="18.75" customHeight="1" x14ac:dyDescent="0.4">
      <c r="A4" s="152" t="s">
        <v>0</v>
      </c>
      <c r="B4" s="152"/>
      <c r="C4" s="152"/>
      <c r="D4" s="152"/>
      <c r="E4" s="152"/>
      <c r="F4" s="152"/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</row>
    <row r="5" spans="1:17" s="1" customFormat="1" ht="24" customHeight="1" x14ac:dyDescent="0.4">
      <c r="A5" s="152"/>
      <c r="B5" s="152"/>
      <c r="C5" s="152"/>
      <c r="D5" s="152"/>
      <c r="E5" s="152"/>
      <c r="F5" s="152"/>
      <c r="G5" s="152"/>
      <c r="H5" s="152"/>
      <c r="I5" s="152"/>
      <c r="J5" s="152"/>
      <c r="K5" s="152"/>
      <c r="L5" s="152"/>
      <c r="M5" s="152"/>
      <c r="N5" s="152"/>
      <c r="O5" s="152"/>
      <c r="P5" s="152"/>
      <c r="Q5" s="152"/>
    </row>
    <row r="6" spans="1:17" ht="18.75" customHeight="1" x14ac:dyDescent="0.45">
      <c r="A6" s="2" t="s">
        <v>16</v>
      </c>
      <c r="B6" s="3"/>
      <c r="C6" s="17"/>
      <c r="D6" s="3"/>
      <c r="E6" s="17"/>
      <c r="F6" s="3"/>
      <c r="G6" s="17"/>
      <c r="H6" s="3"/>
      <c r="I6" s="17"/>
      <c r="J6" s="3"/>
      <c r="K6" s="17"/>
      <c r="L6" s="3"/>
      <c r="M6" s="17"/>
      <c r="N6" s="3"/>
      <c r="O6" s="17"/>
      <c r="P6" s="3"/>
      <c r="Q6" s="17"/>
    </row>
    <row r="7" spans="1:17" ht="19.5" customHeight="1" x14ac:dyDescent="0.45">
      <c r="A7" s="2" t="s">
        <v>87</v>
      </c>
      <c r="B7" s="3"/>
      <c r="C7" s="17"/>
      <c r="D7" s="3"/>
      <c r="E7" s="17"/>
      <c r="F7" s="3"/>
      <c r="G7" s="17"/>
      <c r="H7" s="3"/>
      <c r="I7" s="17"/>
      <c r="J7" s="3"/>
      <c r="K7" s="17"/>
      <c r="L7" s="3"/>
      <c r="M7" s="17"/>
      <c r="N7" s="3"/>
      <c r="O7" s="17"/>
      <c r="P7" s="3"/>
      <c r="Q7" s="17"/>
    </row>
    <row r="8" spans="1:17" s="1" customFormat="1" ht="14" x14ac:dyDescent="0.4">
      <c r="C8" s="16"/>
      <c r="E8" s="16"/>
      <c r="G8" s="16"/>
      <c r="I8" s="16"/>
      <c r="K8" s="16"/>
      <c r="M8" s="16"/>
      <c r="O8" s="16"/>
      <c r="Q8" s="16"/>
    </row>
    <row r="9" spans="1:17" x14ac:dyDescent="0.45">
      <c r="A9" s="155" t="s">
        <v>1</v>
      </c>
      <c r="B9" s="154" t="s">
        <v>2</v>
      </c>
      <c r="C9" s="154"/>
      <c r="D9" s="154" t="s">
        <v>3</v>
      </c>
      <c r="E9" s="154"/>
      <c r="F9" s="154" t="s">
        <v>4</v>
      </c>
      <c r="G9" s="154"/>
      <c r="H9" s="153" t="s">
        <v>5</v>
      </c>
      <c r="I9" s="153"/>
      <c r="J9" s="154" t="s">
        <v>6</v>
      </c>
      <c r="K9" s="154"/>
      <c r="L9" s="154" t="s">
        <v>7</v>
      </c>
      <c r="M9" s="154"/>
      <c r="N9" s="154" t="s">
        <v>8</v>
      </c>
      <c r="O9" s="154"/>
      <c r="P9" s="154" t="s">
        <v>9</v>
      </c>
      <c r="Q9" s="154"/>
    </row>
    <row r="10" spans="1:17" x14ac:dyDescent="0.45">
      <c r="A10" s="156"/>
      <c r="B10" s="5" t="s">
        <v>10</v>
      </c>
      <c r="C10" s="20" t="s">
        <v>11</v>
      </c>
      <c r="D10" s="5" t="s">
        <v>10</v>
      </c>
      <c r="E10" s="20" t="s">
        <v>11</v>
      </c>
      <c r="F10" s="5" t="s">
        <v>10</v>
      </c>
      <c r="G10" s="20" t="s">
        <v>11</v>
      </c>
      <c r="H10" s="5" t="s">
        <v>10</v>
      </c>
      <c r="I10" s="20" t="s">
        <v>11</v>
      </c>
      <c r="J10" s="5" t="s">
        <v>10</v>
      </c>
      <c r="K10" s="20" t="s">
        <v>11</v>
      </c>
      <c r="L10" s="5" t="s">
        <v>10</v>
      </c>
      <c r="M10" s="20" t="s">
        <v>11</v>
      </c>
      <c r="N10" s="5" t="s">
        <v>10</v>
      </c>
      <c r="O10" s="20" t="s">
        <v>11</v>
      </c>
      <c r="P10" s="5" t="s">
        <v>10</v>
      </c>
      <c r="Q10" s="20" t="s">
        <v>11</v>
      </c>
    </row>
    <row r="11" spans="1:17" s="108" customFormat="1" ht="12" customHeight="1" x14ac:dyDescent="0.4">
      <c r="A11" s="129" t="s">
        <v>17</v>
      </c>
      <c r="B11" s="129"/>
      <c r="C11" s="130"/>
      <c r="D11" s="129"/>
      <c r="E11" s="130"/>
      <c r="F11" s="129"/>
      <c r="G11" s="130"/>
      <c r="H11" s="129"/>
      <c r="I11" s="130"/>
      <c r="J11" s="129"/>
      <c r="K11" s="130"/>
      <c r="L11" s="129"/>
      <c r="M11" s="130"/>
      <c r="N11" s="129"/>
      <c r="O11" s="130"/>
      <c r="P11" s="129"/>
      <c r="Q11" s="130"/>
    </row>
    <row r="12" spans="1:17" s="108" customFormat="1" ht="12" customHeight="1" x14ac:dyDescent="0.4">
      <c r="A12" s="21" t="s">
        <v>18</v>
      </c>
      <c r="B12" s="23">
        <v>1138</v>
      </c>
      <c r="C12" s="90">
        <v>63.04</v>
      </c>
      <c r="D12" s="22">
        <v>1703</v>
      </c>
      <c r="E12" s="91">
        <v>18.100000000000001</v>
      </c>
      <c r="F12" s="22">
        <v>1416</v>
      </c>
      <c r="G12" s="91">
        <v>51.12</v>
      </c>
      <c r="H12" s="28" t="s">
        <v>91</v>
      </c>
      <c r="I12" s="123" t="s">
        <v>92</v>
      </c>
      <c r="J12" s="22">
        <v>1091</v>
      </c>
      <c r="K12" s="91">
        <v>10.65</v>
      </c>
      <c r="L12" s="22">
        <v>1414</v>
      </c>
      <c r="M12" s="91">
        <v>16.96</v>
      </c>
      <c r="N12" s="22">
        <v>810</v>
      </c>
      <c r="O12" s="91">
        <v>-0.37</v>
      </c>
      <c r="P12" s="23">
        <v>1638</v>
      </c>
      <c r="Q12" s="92">
        <v>17</v>
      </c>
    </row>
    <row r="13" spans="1:17" s="108" customFormat="1" ht="12" customHeight="1" x14ac:dyDescent="0.4">
      <c r="A13" s="24" t="s">
        <v>19</v>
      </c>
      <c r="B13" s="26">
        <v>9946</v>
      </c>
      <c r="C13" s="93">
        <v>-0.05</v>
      </c>
      <c r="D13" s="26">
        <v>8285</v>
      </c>
      <c r="E13" s="94">
        <v>17.14</v>
      </c>
      <c r="F13" s="26">
        <v>6888</v>
      </c>
      <c r="G13" s="94">
        <v>-6.64</v>
      </c>
      <c r="H13" s="30" t="s">
        <v>91</v>
      </c>
      <c r="I13" s="124" t="s">
        <v>92</v>
      </c>
      <c r="J13" s="26">
        <v>7212</v>
      </c>
      <c r="K13" s="93">
        <v>11.52</v>
      </c>
      <c r="L13" s="26">
        <v>8208</v>
      </c>
      <c r="M13" s="94">
        <v>-0.89</v>
      </c>
      <c r="N13" s="26">
        <v>5137</v>
      </c>
      <c r="O13" s="94">
        <v>28.17</v>
      </c>
      <c r="P13" s="27">
        <v>6948</v>
      </c>
      <c r="Q13" s="93">
        <v>15.15</v>
      </c>
    </row>
    <row r="14" spans="1:17" s="108" customFormat="1" ht="12" customHeight="1" x14ac:dyDescent="0.4">
      <c r="A14" s="21" t="s">
        <v>20</v>
      </c>
      <c r="B14" s="112">
        <v>1990</v>
      </c>
      <c r="C14" s="113">
        <v>34.92</v>
      </c>
      <c r="D14" s="22">
        <v>1607</v>
      </c>
      <c r="E14" s="91">
        <v>51.46</v>
      </c>
      <c r="F14" s="22">
        <v>1430</v>
      </c>
      <c r="G14" s="91">
        <v>16.260000000000002</v>
      </c>
      <c r="H14" s="22">
        <v>2028</v>
      </c>
      <c r="I14" s="91">
        <v>40.44</v>
      </c>
      <c r="J14" s="112">
        <v>1868</v>
      </c>
      <c r="K14" s="113">
        <v>25.88</v>
      </c>
      <c r="L14" s="22">
        <v>1638</v>
      </c>
      <c r="M14" s="91">
        <v>39.17</v>
      </c>
      <c r="N14" s="22">
        <v>1828</v>
      </c>
      <c r="O14" s="91">
        <v>48.86</v>
      </c>
      <c r="P14" s="22">
        <v>1774</v>
      </c>
      <c r="Q14" s="91">
        <v>31.8</v>
      </c>
    </row>
    <row r="15" spans="1:17" s="108" customFormat="1" ht="12" customHeight="1" x14ac:dyDescent="0.4">
      <c r="A15" s="24" t="s">
        <v>21</v>
      </c>
      <c r="B15" s="26">
        <v>2002</v>
      </c>
      <c r="C15" s="94">
        <v>5.09</v>
      </c>
      <c r="D15" s="26">
        <v>2771</v>
      </c>
      <c r="E15" s="94">
        <v>4.8</v>
      </c>
      <c r="F15" s="26">
        <v>1434</v>
      </c>
      <c r="G15" s="94">
        <v>4.37</v>
      </c>
      <c r="H15" s="27">
        <v>2465</v>
      </c>
      <c r="I15" s="39">
        <v>2.3199999999999998</v>
      </c>
      <c r="J15" s="26">
        <v>2566</v>
      </c>
      <c r="K15" s="94">
        <v>0.83</v>
      </c>
      <c r="L15" s="26">
        <v>1504</v>
      </c>
      <c r="M15" s="94">
        <v>41.62</v>
      </c>
      <c r="N15" s="26">
        <v>1864</v>
      </c>
      <c r="O15" s="94">
        <v>-14.69</v>
      </c>
      <c r="P15" s="27">
        <v>2089</v>
      </c>
      <c r="Q15" s="93">
        <v>2.2999999999999998</v>
      </c>
    </row>
    <row r="16" spans="1:17" s="108" customFormat="1" ht="12" customHeight="1" x14ac:dyDescent="0.4">
      <c r="A16" s="21" t="s">
        <v>22</v>
      </c>
      <c r="B16" s="28" t="s">
        <v>91</v>
      </c>
      <c r="C16" s="123" t="s">
        <v>92</v>
      </c>
      <c r="D16" s="22">
        <v>1205</v>
      </c>
      <c r="E16" s="91">
        <v>-23.54</v>
      </c>
      <c r="F16" s="22">
        <v>1292</v>
      </c>
      <c r="G16" s="91">
        <v>2.0499999999999998</v>
      </c>
      <c r="H16" s="22">
        <v>1318</v>
      </c>
      <c r="I16" s="91">
        <v>-22.33</v>
      </c>
      <c r="J16" s="22">
        <v>1125</v>
      </c>
      <c r="K16" s="91">
        <v>5.73</v>
      </c>
      <c r="L16" s="22">
        <v>1493</v>
      </c>
      <c r="M16" s="91">
        <v>-19.95</v>
      </c>
      <c r="N16" s="22">
        <v>1536</v>
      </c>
      <c r="O16" s="91">
        <v>-6.06</v>
      </c>
      <c r="P16" s="28" t="s">
        <v>91</v>
      </c>
      <c r="Q16" s="123" t="s">
        <v>92</v>
      </c>
    </row>
    <row r="17" spans="1:17" s="108" customFormat="1" ht="12" customHeight="1" x14ac:dyDescent="0.4">
      <c r="A17" s="24" t="s">
        <v>23</v>
      </c>
      <c r="B17" s="26">
        <v>3258</v>
      </c>
      <c r="C17" s="94">
        <v>-1.87</v>
      </c>
      <c r="D17" s="26">
        <v>2902</v>
      </c>
      <c r="E17" s="94">
        <v>36.31</v>
      </c>
      <c r="F17" s="26">
        <v>2922</v>
      </c>
      <c r="G17" s="94">
        <v>0.76</v>
      </c>
      <c r="H17" s="27">
        <v>2961</v>
      </c>
      <c r="I17" s="93">
        <v>-12.42</v>
      </c>
      <c r="J17" s="26">
        <v>2564</v>
      </c>
      <c r="K17" s="94">
        <v>-13</v>
      </c>
      <c r="L17" s="26">
        <v>3532</v>
      </c>
      <c r="M17" s="94">
        <v>-1.45</v>
      </c>
      <c r="N17" s="26">
        <v>1774</v>
      </c>
      <c r="O17" s="94">
        <v>29.02</v>
      </c>
      <c r="P17" s="27">
        <v>2377</v>
      </c>
      <c r="Q17" s="93">
        <v>-20.260000000000002</v>
      </c>
    </row>
    <row r="18" spans="1:17" s="108" customFormat="1" ht="12" customHeight="1" x14ac:dyDescent="0.4">
      <c r="A18" s="21" t="s">
        <v>24</v>
      </c>
      <c r="B18" s="112">
        <v>1958</v>
      </c>
      <c r="C18" s="113">
        <v>-5.64</v>
      </c>
      <c r="D18" s="22">
        <v>1770</v>
      </c>
      <c r="E18" s="91">
        <v>1.9</v>
      </c>
      <c r="F18" s="22">
        <v>1417</v>
      </c>
      <c r="G18" s="91">
        <v>1.72</v>
      </c>
      <c r="H18" s="22">
        <v>1805</v>
      </c>
      <c r="I18" s="91">
        <v>0.11</v>
      </c>
      <c r="J18" s="112">
        <v>1118</v>
      </c>
      <c r="K18" s="113">
        <v>-12.86</v>
      </c>
      <c r="L18" s="22">
        <v>1683</v>
      </c>
      <c r="M18" s="91">
        <v>4.79</v>
      </c>
      <c r="N18" s="22">
        <v>907</v>
      </c>
      <c r="O18" s="91">
        <v>-9.48</v>
      </c>
      <c r="P18" s="22">
        <v>1743</v>
      </c>
      <c r="Q18" s="91">
        <v>-7.73</v>
      </c>
    </row>
    <row r="19" spans="1:17" s="108" customFormat="1" ht="12" customHeight="1" x14ac:dyDescent="0.4">
      <c r="A19" s="24" t="s">
        <v>25</v>
      </c>
      <c r="B19" s="26">
        <v>1260</v>
      </c>
      <c r="C19" s="94">
        <v>6.24</v>
      </c>
      <c r="D19" s="26">
        <v>2245</v>
      </c>
      <c r="E19" s="94">
        <v>12.87</v>
      </c>
      <c r="F19" s="26">
        <v>935</v>
      </c>
      <c r="G19" s="94">
        <v>-9.31</v>
      </c>
      <c r="H19" s="27">
        <v>1385</v>
      </c>
      <c r="I19" s="93">
        <v>1.32</v>
      </c>
      <c r="J19" s="26">
        <v>1198</v>
      </c>
      <c r="K19" s="94">
        <v>17.57</v>
      </c>
      <c r="L19" s="26">
        <v>1297</v>
      </c>
      <c r="M19" s="94">
        <v>-6.49</v>
      </c>
      <c r="N19" s="26">
        <v>1314</v>
      </c>
      <c r="O19" s="94">
        <v>20.66</v>
      </c>
      <c r="P19" s="27">
        <v>1771</v>
      </c>
      <c r="Q19" s="93">
        <v>22.9</v>
      </c>
    </row>
    <row r="20" spans="1:17" s="108" customFormat="1" ht="12" customHeight="1" x14ac:dyDescent="0.4">
      <c r="A20" s="21" t="s">
        <v>26</v>
      </c>
      <c r="B20" s="22">
        <v>2081</v>
      </c>
      <c r="C20" s="91">
        <v>-6.26</v>
      </c>
      <c r="D20" s="22">
        <v>2791</v>
      </c>
      <c r="E20" s="91">
        <v>-6.72</v>
      </c>
      <c r="F20" s="22">
        <v>2554</v>
      </c>
      <c r="G20" s="91">
        <v>-31.44</v>
      </c>
      <c r="H20" s="22">
        <v>2399</v>
      </c>
      <c r="I20" s="91">
        <v>-33.71</v>
      </c>
      <c r="J20" s="22">
        <v>1636</v>
      </c>
      <c r="K20" s="91">
        <v>-40.549999999999997</v>
      </c>
      <c r="L20" s="22">
        <v>2153</v>
      </c>
      <c r="M20" s="91">
        <v>-29.25</v>
      </c>
      <c r="N20" s="22">
        <v>1283</v>
      </c>
      <c r="O20" s="91">
        <v>-39.479999999999997</v>
      </c>
      <c r="P20" s="22">
        <v>2542</v>
      </c>
      <c r="Q20" s="91">
        <v>-17.010000000000002</v>
      </c>
    </row>
    <row r="21" spans="1:17" s="108" customFormat="1" ht="12" customHeight="1" x14ac:dyDescent="0.4">
      <c r="A21" s="24" t="s">
        <v>27</v>
      </c>
      <c r="B21" s="26">
        <v>1363</v>
      </c>
      <c r="C21" s="94">
        <v>-7.84</v>
      </c>
      <c r="D21" s="26">
        <v>696</v>
      </c>
      <c r="E21" s="94">
        <v>-34.03</v>
      </c>
      <c r="F21" s="26">
        <v>1626</v>
      </c>
      <c r="G21" s="94">
        <v>30.6</v>
      </c>
      <c r="H21" s="27">
        <v>1250</v>
      </c>
      <c r="I21" s="93">
        <v>-21.68</v>
      </c>
      <c r="J21" s="26">
        <v>1098</v>
      </c>
      <c r="K21" s="94">
        <v>-24.79</v>
      </c>
      <c r="L21" s="26">
        <v>931</v>
      </c>
      <c r="M21" s="94">
        <v>-25.46</v>
      </c>
      <c r="N21" s="26">
        <v>582</v>
      </c>
      <c r="O21" s="94">
        <v>-24.51</v>
      </c>
      <c r="P21" s="27">
        <v>1419</v>
      </c>
      <c r="Q21" s="93">
        <v>-23.13</v>
      </c>
    </row>
    <row r="22" spans="1:17" s="108" customFormat="1" ht="12" customHeight="1" x14ac:dyDescent="0.4">
      <c r="A22" s="21" t="s">
        <v>28</v>
      </c>
      <c r="B22" s="22">
        <v>2523</v>
      </c>
      <c r="C22" s="91">
        <v>16.16</v>
      </c>
      <c r="D22" s="22">
        <v>2636</v>
      </c>
      <c r="E22" s="91">
        <v>21.59</v>
      </c>
      <c r="F22" s="22">
        <v>2458</v>
      </c>
      <c r="G22" s="91">
        <v>22.53</v>
      </c>
      <c r="H22" s="28" t="s">
        <v>91</v>
      </c>
      <c r="I22" s="123" t="s">
        <v>92</v>
      </c>
      <c r="J22" s="22">
        <v>3133</v>
      </c>
      <c r="K22" s="91">
        <v>27.31</v>
      </c>
      <c r="L22" s="22">
        <v>2507</v>
      </c>
      <c r="M22" s="91">
        <v>52.59</v>
      </c>
      <c r="N22" s="22">
        <v>2280</v>
      </c>
      <c r="O22" s="91">
        <v>17.100000000000001</v>
      </c>
      <c r="P22" s="23">
        <v>2988</v>
      </c>
      <c r="Q22" s="92">
        <v>27.86</v>
      </c>
    </row>
    <row r="23" spans="1:17" s="108" customFormat="1" ht="12" customHeight="1" x14ac:dyDescent="0.4">
      <c r="A23" s="32" t="s">
        <v>29</v>
      </c>
      <c r="B23" s="103">
        <v>1862</v>
      </c>
      <c r="C23" s="117">
        <v>-13.11</v>
      </c>
      <c r="D23" s="33">
        <v>1903</v>
      </c>
      <c r="E23" s="95">
        <v>-4.71</v>
      </c>
      <c r="F23" s="33">
        <v>1750</v>
      </c>
      <c r="G23" s="95">
        <v>-8.66</v>
      </c>
      <c r="H23" s="33">
        <v>1823</v>
      </c>
      <c r="I23" s="95">
        <v>-9.84</v>
      </c>
      <c r="J23" s="33">
        <v>1943</v>
      </c>
      <c r="K23" s="95">
        <v>-4.38</v>
      </c>
      <c r="L23" s="33">
        <v>1066</v>
      </c>
      <c r="M23" s="95">
        <v>-14.03</v>
      </c>
      <c r="N23" s="33">
        <v>427</v>
      </c>
      <c r="O23" s="95">
        <v>-47.48</v>
      </c>
      <c r="P23" s="33">
        <v>1983</v>
      </c>
      <c r="Q23" s="95">
        <v>1.95</v>
      </c>
    </row>
    <row r="24" spans="1:17" s="108" customFormat="1" ht="12" customHeight="1" x14ac:dyDescent="0.4">
      <c r="A24" s="131" t="s">
        <v>30</v>
      </c>
      <c r="B24" s="132"/>
      <c r="C24" s="133"/>
      <c r="D24" s="132"/>
      <c r="E24" s="133"/>
      <c r="F24" s="132"/>
      <c r="G24" s="133"/>
      <c r="H24" s="132"/>
      <c r="I24" s="133"/>
      <c r="J24" s="132"/>
      <c r="K24" s="133"/>
      <c r="L24" s="132"/>
      <c r="M24" s="133"/>
      <c r="N24" s="132"/>
      <c r="O24" s="133"/>
      <c r="P24" s="132"/>
      <c r="Q24" s="133"/>
    </row>
    <row r="25" spans="1:17" s="108" customFormat="1" ht="12" customHeight="1" x14ac:dyDescent="0.4">
      <c r="A25" s="24" t="s">
        <v>49</v>
      </c>
      <c r="B25" s="118" t="s">
        <v>91</v>
      </c>
      <c r="C25" s="124" t="s">
        <v>92</v>
      </c>
      <c r="D25" s="26">
        <v>5910</v>
      </c>
      <c r="E25" s="94">
        <v>-10.85</v>
      </c>
      <c r="F25" s="26">
        <v>5555</v>
      </c>
      <c r="G25" s="31">
        <v>-12.96</v>
      </c>
      <c r="H25" s="30">
        <v>5939</v>
      </c>
      <c r="I25" s="124">
        <v>-9.69</v>
      </c>
      <c r="J25" s="29">
        <v>4750</v>
      </c>
      <c r="K25" s="93">
        <v>-16.329999999999998</v>
      </c>
      <c r="L25" s="26" t="s">
        <v>91</v>
      </c>
      <c r="M25" s="39" t="s">
        <v>92</v>
      </c>
      <c r="N25" s="26">
        <v>3933</v>
      </c>
      <c r="O25" s="94">
        <v>-21.12</v>
      </c>
      <c r="P25" s="27">
        <v>4598</v>
      </c>
      <c r="Q25" s="93">
        <v>-17.29</v>
      </c>
    </row>
    <row r="26" spans="1:17" s="108" customFormat="1" ht="12" customHeight="1" x14ac:dyDescent="0.4">
      <c r="A26" s="21" t="s">
        <v>31</v>
      </c>
      <c r="B26" s="22">
        <v>1720</v>
      </c>
      <c r="C26" s="91">
        <v>-1.1499999999999999</v>
      </c>
      <c r="D26" s="22">
        <v>2196</v>
      </c>
      <c r="E26" s="91">
        <v>-5.91</v>
      </c>
      <c r="F26" s="22">
        <v>1718</v>
      </c>
      <c r="G26" s="91">
        <v>-4.29</v>
      </c>
      <c r="H26" s="28" t="s">
        <v>91</v>
      </c>
      <c r="I26" s="123" t="s">
        <v>92</v>
      </c>
      <c r="J26" s="22">
        <v>1652</v>
      </c>
      <c r="K26" s="91">
        <v>-0.78</v>
      </c>
      <c r="L26" s="22">
        <v>2127</v>
      </c>
      <c r="M26" s="91">
        <v>-3.58</v>
      </c>
      <c r="N26" s="22">
        <v>1723</v>
      </c>
      <c r="O26" s="91">
        <v>0.82</v>
      </c>
      <c r="P26" s="23">
        <v>1504</v>
      </c>
      <c r="Q26" s="92">
        <v>3.3</v>
      </c>
    </row>
    <row r="27" spans="1:17" s="108" customFormat="1" ht="12" customHeight="1" x14ac:dyDescent="0.4">
      <c r="A27" s="24" t="s">
        <v>32</v>
      </c>
      <c r="B27" s="26">
        <v>3790</v>
      </c>
      <c r="C27" s="94">
        <v>7.82</v>
      </c>
      <c r="D27" s="26">
        <v>5757</v>
      </c>
      <c r="E27" s="94">
        <v>15.14</v>
      </c>
      <c r="F27" s="30" t="s">
        <v>91</v>
      </c>
      <c r="G27" s="124" t="s">
        <v>92</v>
      </c>
      <c r="H27" s="26">
        <v>4784</v>
      </c>
      <c r="I27" s="94">
        <v>14.37</v>
      </c>
      <c r="J27" s="26">
        <v>3863</v>
      </c>
      <c r="K27" s="94">
        <v>4.5199999999999996</v>
      </c>
      <c r="L27" s="30" t="s">
        <v>91</v>
      </c>
      <c r="M27" s="124" t="s">
        <v>92</v>
      </c>
      <c r="N27" s="27">
        <v>7401</v>
      </c>
      <c r="O27" s="94">
        <v>14.57</v>
      </c>
      <c r="P27" s="26">
        <v>4301</v>
      </c>
      <c r="Q27" s="94">
        <v>5.08</v>
      </c>
    </row>
    <row r="28" spans="1:17" s="108" customFormat="1" ht="12" customHeight="1" x14ac:dyDescent="0.4">
      <c r="A28" s="21" t="s">
        <v>33</v>
      </c>
      <c r="B28" s="28" t="s">
        <v>91</v>
      </c>
      <c r="C28" s="123" t="s">
        <v>92</v>
      </c>
      <c r="D28" s="22">
        <v>9130</v>
      </c>
      <c r="E28" s="91">
        <v>17.62</v>
      </c>
      <c r="F28" s="22">
        <v>10377</v>
      </c>
      <c r="G28" s="91">
        <v>17.11</v>
      </c>
      <c r="H28" s="28" t="s">
        <v>91</v>
      </c>
      <c r="I28" s="123" t="s">
        <v>92</v>
      </c>
      <c r="J28" s="23">
        <v>8358</v>
      </c>
      <c r="K28" s="90">
        <v>28.43</v>
      </c>
      <c r="L28" s="23">
        <v>6975</v>
      </c>
      <c r="M28" s="92">
        <v>6.31</v>
      </c>
      <c r="N28" s="22">
        <v>7696</v>
      </c>
      <c r="O28" s="91">
        <v>13.28</v>
      </c>
      <c r="P28" s="23">
        <v>7278</v>
      </c>
      <c r="Q28" s="92">
        <v>-6.09</v>
      </c>
    </row>
    <row r="29" spans="1:17" s="108" customFormat="1" ht="12" customHeight="1" x14ac:dyDescent="0.4">
      <c r="A29" s="24" t="s">
        <v>34</v>
      </c>
      <c r="B29" s="26">
        <v>3738</v>
      </c>
      <c r="C29" s="94">
        <v>-2.02</v>
      </c>
      <c r="D29" s="26">
        <v>2377</v>
      </c>
      <c r="E29" s="94">
        <v>-28.62</v>
      </c>
      <c r="F29" s="26">
        <v>2210</v>
      </c>
      <c r="G29" s="94">
        <v>24.3</v>
      </c>
      <c r="H29" s="26">
        <v>3410</v>
      </c>
      <c r="I29" s="94">
        <v>2.37</v>
      </c>
      <c r="J29" s="26">
        <v>2416</v>
      </c>
      <c r="K29" s="94">
        <v>-1.79</v>
      </c>
      <c r="L29" s="26">
        <v>3072</v>
      </c>
      <c r="M29" s="94">
        <v>19.86</v>
      </c>
      <c r="N29" s="26">
        <v>2783</v>
      </c>
      <c r="O29" s="94">
        <v>11.86</v>
      </c>
      <c r="P29" s="26">
        <v>2408</v>
      </c>
      <c r="Q29" s="94">
        <v>1.05</v>
      </c>
    </row>
    <row r="30" spans="1:17" s="108" customFormat="1" ht="12" customHeight="1" x14ac:dyDescent="0.4">
      <c r="A30" s="21" t="s">
        <v>58</v>
      </c>
      <c r="B30" s="22">
        <v>1131</v>
      </c>
      <c r="C30" s="91">
        <v>14.36</v>
      </c>
      <c r="D30" s="22">
        <v>1633</v>
      </c>
      <c r="E30" s="91">
        <v>138.38999999999999</v>
      </c>
      <c r="F30" s="22">
        <v>972</v>
      </c>
      <c r="G30" s="91">
        <v>69.34</v>
      </c>
      <c r="H30" s="23">
        <v>1427</v>
      </c>
      <c r="I30" s="92">
        <v>23.87</v>
      </c>
      <c r="J30" s="22">
        <v>1184</v>
      </c>
      <c r="K30" s="92">
        <v>37.35</v>
      </c>
      <c r="L30" s="22">
        <v>1145</v>
      </c>
      <c r="M30" s="91">
        <v>3.43</v>
      </c>
      <c r="N30" s="22">
        <v>1046</v>
      </c>
      <c r="O30" s="91">
        <v>16.739999999999998</v>
      </c>
      <c r="P30" s="23">
        <v>1067</v>
      </c>
      <c r="Q30" s="92">
        <v>11.26</v>
      </c>
    </row>
    <row r="31" spans="1:17" s="108" customFormat="1" ht="12" customHeight="1" x14ac:dyDescent="0.4">
      <c r="A31" s="24" t="s">
        <v>35</v>
      </c>
      <c r="B31" s="27">
        <v>5785</v>
      </c>
      <c r="C31" s="93">
        <v>0.5</v>
      </c>
      <c r="D31" s="26">
        <v>4426</v>
      </c>
      <c r="E31" s="94">
        <v>-9.56</v>
      </c>
      <c r="F31" s="26">
        <v>4618</v>
      </c>
      <c r="G31" s="94">
        <v>-3.81</v>
      </c>
      <c r="H31" s="27">
        <v>5483</v>
      </c>
      <c r="I31" s="93">
        <v>-1.51</v>
      </c>
      <c r="J31" s="27">
        <v>3847</v>
      </c>
      <c r="K31" s="93">
        <v>-11.5</v>
      </c>
      <c r="L31" s="26">
        <v>5449</v>
      </c>
      <c r="M31" s="94">
        <v>-5.28</v>
      </c>
      <c r="N31" s="26">
        <v>4258</v>
      </c>
      <c r="O31" s="94">
        <v>-1.39</v>
      </c>
      <c r="P31" s="27">
        <v>4302</v>
      </c>
      <c r="Q31" s="93">
        <v>2.6</v>
      </c>
    </row>
    <row r="32" spans="1:17" s="108" customFormat="1" ht="12" customHeight="1" x14ac:dyDescent="0.4">
      <c r="A32" s="21" t="s">
        <v>36</v>
      </c>
      <c r="B32" s="22">
        <v>5082</v>
      </c>
      <c r="C32" s="91">
        <v>-3.16</v>
      </c>
      <c r="D32" s="22">
        <v>5588</v>
      </c>
      <c r="E32" s="91">
        <v>16.73</v>
      </c>
      <c r="F32" s="22">
        <v>4497</v>
      </c>
      <c r="G32" s="91">
        <v>-7.03</v>
      </c>
      <c r="H32" s="23" t="s">
        <v>91</v>
      </c>
      <c r="I32" s="123" t="s">
        <v>92</v>
      </c>
      <c r="J32" s="22">
        <v>3491</v>
      </c>
      <c r="K32" s="91">
        <v>10.47</v>
      </c>
      <c r="L32" s="22">
        <v>5216</v>
      </c>
      <c r="M32" s="91">
        <v>-3.25</v>
      </c>
      <c r="N32" s="22">
        <v>5327</v>
      </c>
      <c r="O32" s="91">
        <v>-5.38</v>
      </c>
      <c r="P32" s="23">
        <v>4625</v>
      </c>
      <c r="Q32" s="92">
        <v>83.9</v>
      </c>
    </row>
    <row r="33" spans="1:17" s="108" customFormat="1" ht="12" customHeight="1" x14ac:dyDescent="0.4">
      <c r="A33" s="24" t="s">
        <v>37</v>
      </c>
      <c r="B33" s="26">
        <v>3171</v>
      </c>
      <c r="C33" s="94">
        <v>31.91</v>
      </c>
      <c r="D33" s="26">
        <v>6983</v>
      </c>
      <c r="E33" s="109">
        <v>86.51</v>
      </c>
      <c r="F33" s="26">
        <v>6421</v>
      </c>
      <c r="G33" s="93">
        <v>150.62</v>
      </c>
      <c r="H33" s="30" t="s">
        <v>91</v>
      </c>
      <c r="I33" s="124" t="s">
        <v>92</v>
      </c>
      <c r="J33" s="26">
        <v>6477</v>
      </c>
      <c r="K33" s="94">
        <v>72.95</v>
      </c>
      <c r="L33" s="26">
        <v>3971</v>
      </c>
      <c r="M33" s="94">
        <v>46.59</v>
      </c>
      <c r="N33" s="26">
        <v>6158</v>
      </c>
      <c r="O33" s="93">
        <v>123.76</v>
      </c>
      <c r="P33" s="27">
        <v>6188</v>
      </c>
      <c r="Q33" s="94">
        <v>83.84</v>
      </c>
    </row>
    <row r="34" spans="1:17" s="108" customFormat="1" ht="12" customHeight="1" x14ac:dyDescent="0.4">
      <c r="A34" s="21" t="s">
        <v>53</v>
      </c>
      <c r="B34" s="81" t="s">
        <v>91</v>
      </c>
      <c r="C34" s="123" t="s">
        <v>92</v>
      </c>
      <c r="D34" s="22">
        <v>10735</v>
      </c>
      <c r="E34" s="91">
        <v>14.04</v>
      </c>
      <c r="F34" s="22">
        <v>10730</v>
      </c>
      <c r="G34" s="91">
        <v>23.56</v>
      </c>
      <c r="H34" s="23">
        <v>9139</v>
      </c>
      <c r="I34" s="90">
        <v>3.36</v>
      </c>
      <c r="J34" s="23">
        <v>9726</v>
      </c>
      <c r="K34" s="92">
        <v>16.05</v>
      </c>
      <c r="L34" s="22">
        <v>9941</v>
      </c>
      <c r="M34" s="91">
        <v>8.43</v>
      </c>
      <c r="N34" s="22">
        <v>10773</v>
      </c>
      <c r="O34" s="91">
        <v>27.36</v>
      </c>
      <c r="P34" s="23">
        <v>8553</v>
      </c>
      <c r="Q34" s="92">
        <v>1.39</v>
      </c>
    </row>
    <row r="35" spans="1:17" s="108" customFormat="1" ht="12" customHeight="1" x14ac:dyDescent="0.4">
      <c r="A35" s="24" t="s">
        <v>38</v>
      </c>
      <c r="B35" s="27">
        <v>4483</v>
      </c>
      <c r="C35" s="39">
        <v>5.48</v>
      </c>
      <c r="D35" s="26">
        <v>4164</v>
      </c>
      <c r="E35" s="94">
        <v>18.03</v>
      </c>
      <c r="F35" s="26">
        <v>3710</v>
      </c>
      <c r="G35" s="94">
        <v>15.79</v>
      </c>
      <c r="H35" s="30" t="s">
        <v>91</v>
      </c>
      <c r="I35" s="124" t="s">
        <v>92</v>
      </c>
      <c r="J35" s="26">
        <v>4483</v>
      </c>
      <c r="K35" s="94">
        <v>19.39</v>
      </c>
      <c r="L35" s="26">
        <v>5005</v>
      </c>
      <c r="M35" s="94">
        <v>44.24</v>
      </c>
      <c r="N35" s="26">
        <v>3161</v>
      </c>
      <c r="O35" s="94">
        <v>-3.54</v>
      </c>
      <c r="P35" s="27">
        <v>4754</v>
      </c>
      <c r="Q35" s="94">
        <v>34.979999999999997</v>
      </c>
    </row>
    <row r="36" spans="1:17" s="108" customFormat="1" ht="12" customHeight="1" x14ac:dyDescent="0.4">
      <c r="A36" s="21" t="s">
        <v>39</v>
      </c>
      <c r="B36" s="22">
        <v>5040</v>
      </c>
      <c r="C36" s="91">
        <v>-7.3</v>
      </c>
      <c r="D36" s="22">
        <v>3556</v>
      </c>
      <c r="E36" s="91">
        <v>-25.18</v>
      </c>
      <c r="F36" s="22">
        <v>3530</v>
      </c>
      <c r="G36" s="91">
        <v>-14.86</v>
      </c>
      <c r="H36" s="23">
        <v>4248</v>
      </c>
      <c r="I36" s="92">
        <v>-13.04</v>
      </c>
      <c r="J36" s="22">
        <v>3704</v>
      </c>
      <c r="K36" s="91">
        <v>-11.13</v>
      </c>
      <c r="L36" s="22">
        <v>3501</v>
      </c>
      <c r="M36" s="91">
        <v>-14.63</v>
      </c>
      <c r="N36" s="22">
        <v>2450</v>
      </c>
      <c r="O36" s="91">
        <v>-29.62</v>
      </c>
      <c r="P36" s="23">
        <v>3688</v>
      </c>
      <c r="Q36" s="92">
        <v>-22.99</v>
      </c>
    </row>
    <row r="37" spans="1:17" s="108" customFormat="1" ht="12" customHeight="1" x14ac:dyDescent="0.4">
      <c r="A37" s="24" t="s">
        <v>40</v>
      </c>
      <c r="B37" s="25" t="s">
        <v>91</v>
      </c>
      <c r="C37" s="124" t="s">
        <v>92</v>
      </c>
      <c r="D37" s="26">
        <v>2586</v>
      </c>
      <c r="E37" s="94">
        <v>-3.44</v>
      </c>
      <c r="F37" s="26">
        <v>1424</v>
      </c>
      <c r="G37" s="93">
        <v>-27.05</v>
      </c>
      <c r="H37" s="27">
        <v>2235</v>
      </c>
      <c r="I37" s="93">
        <v>-2.83</v>
      </c>
      <c r="J37" s="30" t="s">
        <v>91</v>
      </c>
      <c r="K37" s="124" t="s">
        <v>92</v>
      </c>
      <c r="L37" s="30" t="s">
        <v>91</v>
      </c>
      <c r="M37" s="124" t="s">
        <v>92</v>
      </c>
      <c r="N37" s="26">
        <v>2977</v>
      </c>
      <c r="O37" s="93">
        <v>6.06</v>
      </c>
      <c r="P37" s="26">
        <v>2089</v>
      </c>
      <c r="Q37" s="96">
        <v>1.26</v>
      </c>
    </row>
    <row r="38" spans="1:17" s="108" customFormat="1" ht="12" customHeight="1" x14ac:dyDescent="0.4">
      <c r="A38" s="21" t="s">
        <v>59</v>
      </c>
      <c r="B38" s="28" t="s">
        <v>91</v>
      </c>
      <c r="C38" s="123" t="s">
        <v>92</v>
      </c>
      <c r="D38" s="23">
        <v>2619</v>
      </c>
      <c r="E38" s="92">
        <v>25.19</v>
      </c>
      <c r="F38" s="22">
        <v>2870</v>
      </c>
      <c r="G38" s="91">
        <v>17.86</v>
      </c>
      <c r="H38" s="23">
        <v>2848</v>
      </c>
      <c r="I38" s="92">
        <v>7.23</v>
      </c>
      <c r="J38" s="23">
        <v>2406</v>
      </c>
      <c r="K38" s="91">
        <v>13.92</v>
      </c>
      <c r="L38" s="23">
        <v>3094</v>
      </c>
      <c r="M38" s="92">
        <v>3.69</v>
      </c>
      <c r="N38" s="22">
        <v>3127</v>
      </c>
      <c r="O38" s="91">
        <v>15.01</v>
      </c>
      <c r="P38" s="23">
        <v>2475</v>
      </c>
      <c r="Q38" s="92">
        <v>17.02</v>
      </c>
    </row>
    <row r="39" spans="1:17" s="108" customFormat="1" ht="12" customHeight="1" x14ac:dyDescent="0.4">
      <c r="A39" s="24" t="s">
        <v>41</v>
      </c>
      <c r="B39" s="27">
        <v>2553</v>
      </c>
      <c r="C39" s="39">
        <v>6.91</v>
      </c>
      <c r="D39" s="27">
        <v>2803</v>
      </c>
      <c r="E39" s="93">
        <v>37.4</v>
      </c>
      <c r="F39" s="26">
        <v>2437</v>
      </c>
      <c r="G39" s="94">
        <v>41.36</v>
      </c>
      <c r="H39" s="27">
        <v>2474</v>
      </c>
      <c r="I39" s="93">
        <v>20.8</v>
      </c>
      <c r="J39" s="27">
        <v>1874</v>
      </c>
      <c r="K39" s="94">
        <v>-0.95</v>
      </c>
      <c r="L39" s="27">
        <v>2092</v>
      </c>
      <c r="M39" s="93">
        <v>16.16</v>
      </c>
      <c r="N39" s="26">
        <v>3224</v>
      </c>
      <c r="O39" s="94">
        <v>27.28</v>
      </c>
      <c r="P39" s="27">
        <v>3327</v>
      </c>
      <c r="Q39" s="93">
        <v>15</v>
      </c>
    </row>
    <row r="40" spans="1:17" s="108" customFormat="1" ht="12" customHeight="1" x14ac:dyDescent="0.4">
      <c r="A40" s="21" t="s">
        <v>42</v>
      </c>
      <c r="B40" s="22">
        <v>4627</v>
      </c>
      <c r="C40" s="91">
        <v>1.0900000000000001</v>
      </c>
      <c r="D40" s="22">
        <v>4114</v>
      </c>
      <c r="E40" s="91">
        <v>6.66</v>
      </c>
      <c r="F40" s="22">
        <v>4425</v>
      </c>
      <c r="G40" s="91">
        <v>-1.21</v>
      </c>
      <c r="H40" s="23">
        <v>4803</v>
      </c>
      <c r="I40" s="113">
        <v>0.42</v>
      </c>
      <c r="J40" s="22">
        <v>4290</v>
      </c>
      <c r="K40" s="91">
        <v>-2.77</v>
      </c>
      <c r="L40" s="22">
        <v>4544</v>
      </c>
      <c r="M40" s="91">
        <v>9.34</v>
      </c>
      <c r="N40" s="22">
        <v>4024</v>
      </c>
      <c r="O40" s="91">
        <v>-2.35</v>
      </c>
      <c r="P40" s="23">
        <v>4250</v>
      </c>
      <c r="Q40" s="113">
        <v>1.72</v>
      </c>
    </row>
    <row r="41" spans="1:17" s="108" customFormat="1" ht="12" customHeight="1" x14ac:dyDescent="0.4">
      <c r="A41" s="32" t="s">
        <v>60</v>
      </c>
      <c r="B41" s="33" t="s">
        <v>91</v>
      </c>
      <c r="C41" s="125" t="s">
        <v>92</v>
      </c>
      <c r="D41" s="33">
        <v>10308</v>
      </c>
      <c r="E41" s="95">
        <v>39.92</v>
      </c>
      <c r="F41" s="33">
        <v>10652</v>
      </c>
      <c r="G41" s="95">
        <v>36.11</v>
      </c>
      <c r="H41" s="103">
        <v>11174</v>
      </c>
      <c r="I41" s="117">
        <v>36.97</v>
      </c>
      <c r="J41" s="33">
        <v>9522</v>
      </c>
      <c r="K41" s="95">
        <v>29.92</v>
      </c>
      <c r="L41" s="33" t="s">
        <v>91</v>
      </c>
      <c r="M41" s="125" t="s">
        <v>92</v>
      </c>
      <c r="N41" s="33">
        <v>10677</v>
      </c>
      <c r="O41" s="95">
        <v>58.46</v>
      </c>
      <c r="P41" s="103">
        <v>10708</v>
      </c>
      <c r="Q41" s="117">
        <v>47.07</v>
      </c>
    </row>
    <row r="42" spans="1:17" s="108" customFormat="1" ht="12" customHeight="1" x14ac:dyDescent="0.4">
      <c r="A42" s="131" t="s">
        <v>43</v>
      </c>
      <c r="B42" s="132"/>
      <c r="C42" s="133"/>
      <c r="D42" s="132"/>
      <c r="E42" s="133"/>
      <c r="F42" s="132"/>
      <c r="G42" s="133"/>
      <c r="H42" s="132"/>
      <c r="I42" s="133"/>
      <c r="J42" s="132"/>
      <c r="K42" s="133"/>
      <c r="L42" s="132"/>
      <c r="M42" s="133"/>
      <c r="N42" s="132"/>
      <c r="O42" s="133"/>
      <c r="P42" s="132"/>
      <c r="Q42" s="133"/>
    </row>
    <row r="43" spans="1:17" s="108" customFormat="1" ht="12" customHeight="1" x14ac:dyDescent="0.4">
      <c r="A43" s="24" t="s">
        <v>44</v>
      </c>
      <c r="B43" s="30" t="s">
        <v>91</v>
      </c>
      <c r="C43" s="124" t="s">
        <v>92</v>
      </c>
      <c r="D43" s="26">
        <v>2858</v>
      </c>
      <c r="E43" s="94">
        <v>-10.99</v>
      </c>
      <c r="F43" s="26">
        <v>3522</v>
      </c>
      <c r="G43" s="94">
        <v>-12.19</v>
      </c>
      <c r="H43" s="30" t="s">
        <v>91</v>
      </c>
      <c r="I43" s="124" t="s">
        <v>92</v>
      </c>
      <c r="J43" s="26">
        <v>3035</v>
      </c>
      <c r="K43" s="94">
        <v>-13.11</v>
      </c>
      <c r="L43" s="26">
        <v>4871</v>
      </c>
      <c r="M43" s="94">
        <v>-5.66</v>
      </c>
      <c r="N43" s="26">
        <v>4433</v>
      </c>
      <c r="O43" s="94">
        <v>-4.75</v>
      </c>
      <c r="P43" s="27">
        <v>4351</v>
      </c>
      <c r="Q43" s="94">
        <v>4.1900000000000004</v>
      </c>
    </row>
    <row r="44" spans="1:17" s="108" customFormat="1" ht="12" customHeight="1" x14ac:dyDescent="0.4">
      <c r="A44" s="21" t="s">
        <v>45</v>
      </c>
      <c r="B44" s="22">
        <v>1527</v>
      </c>
      <c r="C44" s="91">
        <v>-4.2</v>
      </c>
      <c r="D44" s="22">
        <v>1298</v>
      </c>
      <c r="E44" s="91">
        <v>-20.61</v>
      </c>
      <c r="F44" s="22">
        <v>1222</v>
      </c>
      <c r="G44" s="91">
        <v>-22.8</v>
      </c>
      <c r="H44" s="23">
        <v>1264</v>
      </c>
      <c r="I44" s="92">
        <v>3.18</v>
      </c>
      <c r="J44" s="22">
        <v>1058</v>
      </c>
      <c r="K44" s="91">
        <v>-2.4900000000000002</v>
      </c>
      <c r="L44" s="23">
        <v>986</v>
      </c>
      <c r="M44" s="90">
        <v>-20.100000000000001</v>
      </c>
      <c r="N44" s="22">
        <v>1421</v>
      </c>
      <c r="O44" s="91">
        <v>-14.65</v>
      </c>
      <c r="P44" s="23">
        <v>1283</v>
      </c>
      <c r="Q44" s="92">
        <v>-2.14</v>
      </c>
    </row>
    <row r="45" spans="1:17" s="108" customFormat="1" ht="12" customHeight="1" x14ac:dyDescent="0.4">
      <c r="A45" s="24" t="s">
        <v>61</v>
      </c>
      <c r="B45" s="26">
        <v>3538</v>
      </c>
      <c r="C45" s="93">
        <v>-0.51</v>
      </c>
      <c r="D45" s="26">
        <v>3808</v>
      </c>
      <c r="E45" s="94">
        <v>1.74</v>
      </c>
      <c r="F45" s="26">
        <v>2827</v>
      </c>
      <c r="G45" s="94">
        <v>16.77</v>
      </c>
      <c r="H45" s="26">
        <v>3909</v>
      </c>
      <c r="I45" s="94">
        <v>2.57</v>
      </c>
      <c r="J45" s="26">
        <v>2910</v>
      </c>
      <c r="K45" s="94">
        <v>-7.79</v>
      </c>
      <c r="L45" s="26">
        <v>2814</v>
      </c>
      <c r="M45" s="94">
        <v>11.89</v>
      </c>
      <c r="N45" s="26">
        <v>3366</v>
      </c>
      <c r="O45" s="94">
        <v>33.47</v>
      </c>
      <c r="P45" s="26">
        <v>3103</v>
      </c>
      <c r="Q45" s="94">
        <v>3.57</v>
      </c>
    </row>
    <row r="46" spans="1:17" s="108" customFormat="1" ht="12" customHeight="1" x14ac:dyDescent="0.4">
      <c r="A46" s="21" t="s">
        <v>46</v>
      </c>
      <c r="B46" s="22">
        <v>3554</v>
      </c>
      <c r="C46" s="91">
        <v>0.65</v>
      </c>
      <c r="D46" s="22">
        <v>3140</v>
      </c>
      <c r="E46" s="91">
        <v>-2.79</v>
      </c>
      <c r="F46" s="22">
        <v>3219</v>
      </c>
      <c r="G46" s="91">
        <v>-15.02</v>
      </c>
      <c r="H46" s="23">
        <v>4160</v>
      </c>
      <c r="I46" s="92">
        <v>6.01</v>
      </c>
      <c r="J46" s="22">
        <v>2542</v>
      </c>
      <c r="K46" s="91">
        <v>-11.55</v>
      </c>
      <c r="L46" s="22">
        <v>3030</v>
      </c>
      <c r="M46" s="91">
        <v>-8.4600000000000009</v>
      </c>
      <c r="N46" s="22">
        <v>2727</v>
      </c>
      <c r="O46" s="91">
        <v>-13.21</v>
      </c>
      <c r="P46" s="23">
        <v>2500</v>
      </c>
      <c r="Q46" s="92">
        <v>-7.27</v>
      </c>
    </row>
    <row r="47" spans="1:17" s="108" customFormat="1" ht="12" customHeight="1" x14ac:dyDescent="0.4">
      <c r="A47" s="32" t="s">
        <v>47</v>
      </c>
      <c r="B47" s="33">
        <v>1963</v>
      </c>
      <c r="C47" s="95">
        <v>-1.65</v>
      </c>
      <c r="D47" s="33">
        <v>2310</v>
      </c>
      <c r="E47" s="95">
        <v>-1.37</v>
      </c>
      <c r="F47" s="33">
        <v>2317</v>
      </c>
      <c r="G47" s="95">
        <v>3.76</v>
      </c>
      <c r="H47" s="33">
        <v>1795</v>
      </c>
      <c r="I47" s="95">
        <v>-3.91</v>
      </c>
      <c r="J47" s="33">
        <v>1620</v>
      </c>
      <c r="K47" s="95">
        <v>-9.19</v>
      </c>
      <c r="L47" s="33">
        <v>2431</v>
      </c>
      <c r="M47" s="95">
        <v>-5.56</v>
      </c>
      <c r="N47" s="102" t="s">
        <v>91</v>
      </c>
      <c r="O47" s="125" t="s">
        <v>92</v>
      </c>
      <c r="P47" s="33">
        <v>1558</v>
      </c>
      <c r="Q47" s="95">
        <v>-10.82</v>
      </c>
    </row>
    <row r="48" spans="1:17" s="108" customFormat="1" ht="12" customHeight="1" x14ac:dyDescent="0.4">
      <c r="A48" s="131" t="s">
        <v>62</v>
      </c>
      <c r="B48" s="132"/>
      <c r="C48" s="133"/>
      <c r="D48" s="132"/>
      <c r="E48" s="133"/>
      <c r="F48" s="132"/>
      <c r="G48" s="133"/>
      <c r="H48" s="132"/>
      <c r="I48" s="133"/>
      <c r="J48" s="132"/>
      <c r="K48" s="133"/>
      <c r="L48" s="132"/>
      <c r="M48" s="133"/>
      <c r="N48" s="132"/>
      <c r="O48" s="133"/>
      <c r="P48" s="132"/>
      <c r="Q48" s="133"/>
    </row>
    <row r="49" spans="1:25" s="108" customFormat="1" ht="12" customHeight="1" x14ac:dyDescent="0.4">
      <c r="A49" s="15" t="s">
        <v>63</v>
      </c>
      <c r="B49" s="34">
        <v>4122</v>
      </c>
      <c r="C49" s="98">
        <v>0.41</v>
      </c>
      <c r="D49" s="34">
        <v>3836</v>
      </c>
      <c r="E49" s="98">
        <v>-1.44</v>
      </c>
      <c r="F49" s="34">
        <v>4332</v>
      </c>
      <c r="G49" s="98">
        <v>-1.55</v>
      </c>
      <c r="H49" s="34">
        <v>4010</v>
      </c>
      <c r="I49" s="98">
        <v>-0.52</v>
      </c>
      <c r="J49" s="34">
        <v>3903</v>
      </c>
      <c r="K49" s="98">
        <v>-0.99</v>
      </c>
      <c r="L49" s="34">
        <v>4056</v>
      </c>
      <c r="M49" s="98">
        <v>-2.92</v>
      </c>
      <c r="N49" s="34">
        <v>4003</v>
      </c>
      <c r="O49" s="98">
        <v>0.1</v>
      </c>
      <c r="P49" s="34">
        <v>4108</v>
      </c>
      <c r="Q49" s="98">
        <v>-3.14</v>
      </c>
    </row>
    <row r="50" spans="1:25" s="108" customFormat="1" ht="12" customHeight="1" x14ac:dyDescent="0.4">
      <c r="A50" s="35" t="s">
        <v>64</v>
      </c>
      <c r="B50" s="104" t="s">
        <v>91</v>
      </c>
      <c r="C50" s="126" t="s">
        <v>92</v>
      </c>
      <c r="D50" s="36">
        <v>4016</v>
      </c>
      <c r="E50" s="97">
        <v>-8.89</v>
      </c>
      <c r="F50" s="36">
        <v>4456</v>
      </c>
      <c r="G50" s="97">
        <v>-7.53</v>
      </c>
      <c r="H50" s="36">
        <v>4625</v>
      </c>
      <c r="I50" s="97">
        <v>3.49</v>
      </c>
      <c r="J50" s="36">
        <v>4779</v>
      </c>
      <c r="K50" s="97">
        <v>0.55000000000000004</v>
      </c>
      <c r="L50" s="36">
        <v>4300</v>
      </c>
      <c r="M50" s="97">
        <v>-0.23</v>
      </c>
      <c r="N50" s="36">
        <v>4051</v>
      </c>
      <c r="O50" s="97">
        <v>-3.25</v>
      </c>
      <c r="P50" s="36">
        <v>4159</v>
      </c>
      <c r="Q50" s="97">
        <v>-2.1</v>
      </c>
    </row>
    <row r="51" spans="1:25" s="108" customFormat="1" ht="12" customHeight="1" x14ac:dyDescent="0.4">
      <c r="A51" s="15" t="s">
        <v>65</v>
      </c>
      <c r="B51" s="34">
        <v>9525</v>
      </c>
      <c r="C51" s="98">
        <v>-0.08</v>
      </c>
      <c r="D51" s="34">
        <v>11033</v>
      </c>
      <c r="E51" s="98">
        <v>-11.4</v>
      </c>
      <c r="F51" s="34">
        <v>8332</v>
      </c>
      <c r="G51" s="98">
        <v>-5.95</v>
      </c>
      <c r="H51" s="34">
        <v>8763</v>
      </c>
      <c r="I51" s="98">
        <v>-3.09</v>
      </c>
      <c r="J51" s="34">
        <v>11360</v>
      </c>
      <c r="K51" s="98">
        <v>-0.5</v>
      </c>
      <c r="L51" s="34">
        <v>9208</v>
      </c>
      <c r="M51" s="98">
        <v>1.19</v>
      </c>
      <c r="N51" s="34">
        <v>11063</v>
      </c>
      <c r="O51" s="98">
        <v>-3.59</v>
      </c>
      <c r="P51" s="34">
        <v>11685</v>
      </c>
      <c r="Q51" s="98">
        <v>0.13</v>
      </c>
    </row>
    <row r="52" spans="1:25" s="108" customFormat="1" ht="12" customHeight="1" x14ac:dyDescent="0.4">
      <c r="A52" s="35" t="s">
        <v>66</v>
      </c>
      <c r="B52" s="104" t="s">
        <v>91</v>
      </c>
      <c r="C52" s="126" t="s">
        <v>92</v>
      </c>
      <c r="D52" s="36">
        <v>8677</v>
      </c>
      <c r="E52" s="97">
        <v>0.28999999999999998</v>
      </c>
      <c r="F52" s="36">
        <v>7373</v>
      </c>
      <c r="G52" s="97">
        <v>0.14000000000000001</v>
      </c>
      <c r="H52" s="104" t="s">
        <v>91</v>
      </c>
      <c r="I52" s="126" t="s">
        <v>92</v>
      </c>
      <c r="J52" s="104" t="s">
        <v>91</v>
      </c>
      <c r="K52" s="126" t="s">
        <v>92</v>
      </c>
      <c r="L52" s="36">
        <v>7037</v>
      </c>
      <c r="M52" s="97">
        <v>1.46</v>
      </c>
      <c r="N52" s="36">
        <v>6900</v>
      </c>
      <c r="O52" s="97">
        <v>-4.78</v>
      </c>
      <c r="P52" s="36">
        <v>7144</v>
      </c>
      <c r="Q52" s="97">
        <v>3.67</v>
      </c>
    </row>
    <row r="53" spans="1:25" s="108" customFormat="1" ht="12" customHeight="1" x14ac:dyDescent="0.4">
      <c r="A53" s="15" t="s">
        <v>67</v>
      </c>
      <c r="B53" s="34">
        <v>6650</v>
      </c>
      <c r="C53" s="98">
        <v>0.64</v>
      </c>
      <c r="D53" s="34">
        <v>6303</v>
      </c>
      <c r="E53" s="98">
        <v>-6.44</v>
      </c>
      <c r="F53" s="34">
        <v>7180</v>
      </c>
      <c r="G53" s="98">
        <v>-1.99</v>
      </c>
      <c r="H53" s="34">
        <v>7238</v>
      </c>
      <c r="I53" s="98">
        <v>1.56</v>
      </c>
      <c r="J53" s="34">
        <v>6147</v>
      </c>
      <c r="K53" s="98">
        <v>4.1900000000000004</v>
      </c>
      <c r="L53" s="34">
        <v>6577</v>
      </c>
      <c r="M53" s="98">
        <v>0.38</v>
      </c>
      <c r="N53" s="34">
        <v>6551</v>
      </c>
      <c r="O53" s="98">
        <v>-2.65</v>
      </c>
      <c r="P53" s="34">
        <v>6696</v>
      </c>
      <c r="Q53" s="98">
        <v>0.09</v>
      </c>
    </row>
    <row r="54" spans="1:25" s="108" customFormat="1" ht="12" customHeight="1" x14ac:dyDescent="0.4">
      <c r="A54" s="35" t="s">
        <v>68</v>
      </c>
      <c r="B54" s="36">
        <v>3016</v>
      </c>
      <c r="C54" s="97">
        <v>0.63</v>
      </c>
      <c r="D54" s="36">
        <v>2645</v>
      </c>
      <c r="E54" s="97">
        <v>0.88</v>
      </c>
      <c r="F54" s="104" t="s">
        <v>91</v>
      </c>
      <c r="G54" s="126" t="s">
        <v>92</v>
      </c>
      <c r="H54" s="36">
        <v>3359</v>
      </c>
      <c r="I54" s="99">
        <v>2.04</v>
      </c>
      <c r="J54" s="36">
        <v>2804</v>
      </c>
      <c r="K54" s="97">
        <v>-1.61</v>
      </c>
      <c r="L54" s="36">
        <v>2963</v>
      </c>
      <c r="M54" s="97">
        <v>2.17</v>
      </c>
      <c r="N54" s="36">
        <v>2672</v>
      </c>
      <c r="O54" s="97">
        <v>-3.71</v>
      </c>
      <c r="P54" s="36">
        <v>3037</v>
      </c>
      <c r="Q54" s="97">
        <v>-0.3</v>
      </c>
    </row>
    <row r="55" spans="1:25" s="108" customFormat="1" ht="12" customHeight="1" x14ac:dyDescent="0.4">
      <c r="A55" s="15" t="s">
        <v>84</v>
      </c>
      <c r="B55" s="114" t="s">
        <v>91</v>
      </c>
      <c r="C55" s="127" t="s">
        <v>92</v>
      </c>
      <c r="D55" s="34">
        <v>481</v>
      </c>
      <c r="E55" s="100">
        <v>-4.9400000000000004</v>
      </c>
      <c r="F55" s="114">
        <v>467</v>
      </c>
      <c r="G55" s="127">
        <v>-3.31</v>
      </c>
      <c r="H55" s="34">
        <v>504</v>
      </c>
      <c r="I55" s="98">
        <v>-1.56</v>
      </c>
      <c r="J55" s="34">
        <v>505</v>
      </c>
      <c r="K55" s="98">
        <v>-2.5099999999999998</v>
      </c>
      <c r="L55" s="34">
        <v>472</v>
      </c>
      <c r="M55" s="98">
        <v>-4.45</v>
      </c>
      <c r="N55" s="34">
        <v>542</v>
      </c>
      <c r="O55" s="98">
        <v>3.04</v>
      </c>
      <c r="P55" s="34">
        <v>513</v>
      </c>
      <c r="Q55" s="98">
        <v>-3.02</v>
      </c>
    </row>
    <row r="56" spans="1:25" s="110" customFormat="1" ht="12" customHeight="1" x14ac:dyDescent="0.45">
      <c r="A56" s="35" t="s">
        <v>93</v>
      </c>
      <c r="B56" s="36" t="s">
        <v>91</v>
      </c>
      <c r="C56" s="97" t="s">
        <v>92</v>
      </c>
      <c r="D56" s="36">
        <v>16281</v>
      </c>
      <c r="E56" s="97">
        <v>-0.83</v>
      </c>
      <c r="F56" s="36">
        <v>19750</v>
      </c>
      <c r="G56" s="97">
        <v>-0.32</v>
      </c>
      <c r="H56" s="36" t="s">
        <v>91</v>
      </c>
      <c r="I56" s="97" t="s">
        <v>92</v>
      </c>
      <c r="J56" s="36">
        <v>12467</v>
      </c>
      <c r="K56" s="97">
        <v>-0.8</v>
      </c>
      <c r="L56" s="36">
        <v>19500</v>
      </c>
      <c r="M56" s="97">
        <v>2.9</v>
      </c>
      <c r="N56" s="36">
        <v>22463</v>
      </c>
      <c r="O56" s="97">
        <v>-1.1299999999999999</v>
      </c>
      <c r="P56" s="104" t="s">
        <v>91</v>
      </c>
      <c r="Q56" s="126" t="s">
        <v>92</v>
      </c>
      <c r="R56" s="37"/>
      <c r="S56" s="94"/>
      <c r="T56" s="37"/>
      <c r="U56" s="94"/>
      <c r="V56" s="37"/>
      <c r="W56" s="93"/>
      <c r="X56" s="37"/>
      <c r="Y56" s="94"/>
    </row>
    <row r="57" spans="1:25" s="40" customFormat="1" ht="12" customHeight="1" x14ac:dyDescent="0.45">
      <c r="A57" s="15" t="s">
        <v>69</v>
      </c>
      <c r="B57" s="34">
        <v>16917</v>
      </c>
      <c r="C57" s="98">
        <v>0</v>
      </c>
      <c r="D57" s="34">
        <v>18650</v>
      </c>
      <c r="E57" s="98">
        <v>0.57999999999999996</v>
      </c>
      <c r="F57" s="114" t="s">
        <v>91</v>
      </c>
      <c r="G57" s="127" t="s">
        <v>92</v>
      </c>
      <c r="H57" s="119" t="s">
        <v>91</v>
      </c>
      <c r="I57" s="127" t="s">
        <v>92</v>
      </c>
      <c r="J57" s="34">
        <v>19231</v>
      </c>
      <c r="K57" s="98">
        <v>5.78</v>
      </c>
      <c r="L57" s="34">
        <v>19333</v>
      </c>
      <c r="M57" s="98">
        <v>2.11</v>
      </c>
      <c r="N57" s="34">
        <v>22144</v>
      </c>
      <c r="O57" s="98">
        <v>3.96</v>
      </c>
      <c r="P57" s="34">
        <v>20250</v>
      </c>
      <c r="Q57" s="98">
        <v>1.25</v>
      </c>
      <c r="S57" s="101"/>
      <c r="U57" s="101"/>
      <c r="W57" s="101"/>
      <c r="Y57" s="101"/>
    </row>
    <row r="58" spans="1:25" s="40" customFormat="1" ht="12" customHeight="1" x14ac:dyDescent="0.45">
      <c r="A58" s="35" t="s">
        <v>70</v>
      </c>
      <c r="B58" s="36">
        <v>39500</v>
      </c>
      <c r="C58" s="97">
        <v>0.64</v>
      </c>
      <c r="D58" s="36">
        <v>41333</v>
      </c>
      <c r="E58" s="97">
        <v>2.06</v>
      </c>
      <c r="F58" s="36">
        <v>80900</v>
      </c>
      <c r="G58" s="97">
        <v>0</v>
      </c>
      <c r="H58" s="36">
        <v>45167</v>
      </c>
      <c r="I58" s="97">
        <v>0.65</v>
      </c>
      <c r="J58" s="82" t="s">
        <v>91</v>
      </c>
      <c r="K58" s="111" t="s">
        <v>92</v>
      </c>
      <c r="L58" s="36">
        <v>34417</v>
      </c>
      <c r="M58" s="97">
        <v>1.43</v>
      </c>
      <c r="N58" s="36">
        <v>54200</v>
      </c>
      <c r="O58" s="97">
        <v>0.38</v>
      </c>
      <c r="P58" s="36">
        <v>35750</v>
      </c>
      <c r="Q58" s="97">
        <v>-0.69</v>
      </c>
      <c r="S58" s="101"/>
      <c r="U58" s="101"/>
      <c r="W58" s="101"/>
      <c r="Y58" s="101"/>
    </row>
    <row r="59" spans="1:25" s="40" customFormat="1" ht="12" customHeight="1" x14ac:dyDescent="0.45">
      <c r="A59" s="15" t="s">
        <v>71</v>
      </c>
      <c r="B59" s="34">
        <v>11033</v>
      </c>
      <c r="C59" s="98">
        <v>0.83</v>
      </c>
      <c r="D59" s="34">
        <v>13844</v>
      </c>
      <c r="E59" s="98">
        <v>-4.47</v>
      </c>
      <c r="F59" s="34">
        <v>16600</v>
      </c>
      <c r="G59" s="98">
        <v>0.2</v>
      </c>
      <c r="H59" s="34">
        <v>12550</v>
      </c>
      <c r="I59" s="98">
        <v>5.63</v>
      </c>
      <c r="J59" s="34">
        <v>12688</v>
      </c>
      <c r="K59" s="98">
        <v>4.96</v>
      </c>
      <c r="L59" s="34">
        <v>13279</v>
      </c>
      <c r="M59" s="98">
        <v>2.17</v>
      </c>
      <c r="N59" s="34">
        <v>14378</v>
      </c>
      <c r="O59" s="98">
        <v>3.63</v>
      </c>
      <c r="P59" s="114" t="s">
        <v>91</v>
      </c>
      <c r="Q59" s="127" t="s">
        <v>92</v>
      </c>
      <c r="S59" s="101"/>
      <c r="U59" s="101"/>
      <c r="W59" s="101"/>
      <c r="Y59" s="101"/>
    </row>
    <row r="60" spans="1:25" s="40" customFormat="1" ht="12" customHeight="1" x14ac:dyDescent="0.45">
      <c r="A60" s="35" t="s">
        <v>72</v>
      </c>
      <c r="B60" s="36">
        <v>10320</v>
      </c>
      <c r="C60" s="97">
        <v>-0.06</v>
      </c>
      <c r="D60" s="104">
        <v>3322</v>
      </c>
      <c r="E60" s="126" t="s">
        <v>92</v>
      </c>
      <c r="F60" s="36">
        <v>9347</v>
      </c>
      <c r="G60" s="97">
        <v>-2.62</v>
      </c>
      <c r="H60" s="36">
        <v>10658</v>
      </c>
      <c r="I60" s="99">
        <v>0.46</v>
      </c>
      <c r="J60" s="36">
        <v>13302</v>
      </c>
      <c r="K60" s="97">
        <v>0</v>
      </c>
      <c r="L60" s="104" t="s">
        <v>91</v>
      </c>
      <c r="M60" s="126" t="s">
        <v>92</v>
      </c>
      <c r="N60" s="36">
        <v>8294</v>
      </c>
      <c r="O60" s="97">
        <v>-4.63</v>
      </c>
      <c r="P60" s="36">
        <v>10704</v>
      </c>
      <c r="Q60" s="97">
        <v>-9.6300000000000008</v>
      </c>
      <c r="S60" s="101"/>
      <c r="U60" s="101"/>
      <c r="W60" s="101"/>
      <c r="Y60" s="101"/>
    </row>
    <row r="61" spans="1:25" s="40" customFormat="1" ht="12" customHeight="1" x14ac:dyDescent="0.45">
      <c r="A61" s="15" t="s">
        <v>73</v>
      </c>
      <c r="B61" s="34">
        <v>3945</v>
      </c>
      <c r="C61" s="98">
        <v>0.64</v>
      </c>
      <c r="D61" s="34">
        <v>4384</v>
      </c>
      <c r="E61" s="98">
        <v>2.5299999999999998</v>
      </c>
      <c r="F61" s="34">
        <v>4173</v>
      </c>
      <c r="G61" s="98">
        <v>-3.16</v>
      </c>
      <c r="H61" s="34">
        <v>3865</v>
      </c>
      <c r="I61" s="98">
        <v>-4.05</v>
      </c>
      <c r="J61" s="34">
        <v>3989</v>
      </c>
      <c r="K61" s="98">
        <v>-4.46</v>
      </c>
      <c r="L61" s="114" t="s">
        <v>91</v>
      </c>
      <c r="M61" s="127" t="s">
        <v>92</v>
      </c>
      <c r="N61" s="34">
        <v>4051</v>
      </c>
      <c r="O61" s="98">
        <v>-3.57</v>
      </c>
      <c r="P61" s="114" t="s">
        <v>91</v>
      </c>
      <c r="Q61" s="127" t="s">
        <v>92</v>
      </c>
      <c r="S61" s="101"/>
      <c r="U61" s="101"/>
      <c r="W61" s="101"/>
      <c r="Y61" s="101"/>
    </row>
    <row r="62" spans="1:25" s="40" customFormat="1" ht="12" customHeight="1" x14ac:dyDescent="0.45">
      <c r="A62" s="35" t="s">
        <v>74</v>
      </c>
      <c r="B62" s="36">
        <v>10975</v>
      </c>
      <c r="C62" s="97">
        <v>0.41</v>
      </c>
      <c r="D62" s="36">
        <v>13381</v>
      </c>
      <c r="E62" s="97">
        <v>7.0000000000000007E-2</v>
      </c>
      <c r="F62" s="36">
        <v>14472</v>
      </c>
      <c r="G62" s="97">
        <v>-0.36</v>
      </c>
      <c r="H62" s="36">
        <v>11056</v>
      </c>
      <c r="I62" s="97">
        <v>-0.04</v>
      </c>
      <c r="J62" s="36">
        <v>15419</v>
      </c>
      <c r="K62" s="97">
        <v>-4.32</v>
      </c>
      <c r="L62" s="36">
        <v>14282</v>
      </c>
      <c r="M62" s="111">
        <v>1.61</v>
      </c>
      <c r="N62" s="36">
        <v>12963</v>
      </c>
      <c r="O62" s="97">
        <v>0.68</v>
      </c>
      <c r="P62" s="36">
        <v>18144</v>
      </c>
      <c r="Q62" s="97">
        <v>-0.36</v>
      </c>
      <c r="S62" s="101"/>
      <c r="U62" s="101"/>
      <c r="W62" s="101"/>
      <c r="Y62" s="101"/>
    </row>
    <row r="63" spans="1:25" s="40" customFormat="1" ht="12" customHeight="1" x14ac:dyDescent="0.45">
      <c r="A63" s="15" t="s">
        <v>75</v>
      </c>
      <c r="B63" s="34">
        <v>3456</v>
      </c>
      <c r="C63" s="98">
        <v>0.26</v>
      </c>
      <c r="D63" s="34">
        <v>3802</v>
      </c>
      <c r="E63" s="98">
        <v>-3.06</v>
      </c>
      <c r="F63" s="34">
        <v>4581</v>
      </c>
      <c r="G63" s="98">
        <v>-2.2599999999999998</v>
      </c>
      <c r="H63" s="34">
        <v>3428</v>
      </c>
      <c r="I63" s="98">
        <v>-3.33</v>
      </c>
      <c r="J63" s="34">
        <v>5021</v>
      </c>
      <c r="K63" s="98">
        <v>1.99</v>
      </c>
      <c r="L63" s="34">
        <v>3983</v>
      </c>
      <c r="M63" s="115">
        <v>-1.41</v>
      </c>
      <c r="N63" s="34">
        <v>4517</v>
      </c>
      <c r="O63" s="98">
        <v>-2.19</v>
      </c>
      <c r="P63" s="34">
        <v>4448</v>
      </c>
      <c r="Q63" s="98">
        <v>-3.99</v>
      </c>
      <c r="S63" s="101"/>
      <c r="U63" s="101"/>
      <c r="W63" s="101"/>
      <c r="Y63" s="101"/>
    </row>
    <row r="64" spans="1:25" s="40" customFormat="1" ht="12" customHeight="1" x14ac:dyDescent="0.45">
      <c r="A64" s="35" t="s">
        <v>76</v>
      </c>
      <c r="B64" s="36">
        <v>4293</v>
      </c>
      <c r="C64" s="97">
        <v>0.92</v>
      </c>
      <c r="D64" s="36">
        <v>4765</v>
      </c>
      <c r="E64" s="111">
        <v>0.32</v>
      </c>
      <c r="F64" s="36">
        <v>3995</v>
      </c>
      <c r="G64" s="97">
        <v>-8.18</v>
      </c>
      <c r="H64" s="36">
        <v>4276</v>
      </c>
      <c r="I64" s="97">
        <v>-2.73</v>
      </c>
      <c r="J64" s="36">
        <v>5514</v>
      </c>
      <c r="K64" s="99">
        <v>-0.76</v>
      </c>
      <c r="L64" s="36">
        <v>3479</v>
      </c>
      <c r="M64" s="97">
        <v>-11.18</v>
      </c>
      <c r="N64" s="36" t="s">
        <v>91</v>
      </c>
      <c r="O64" s="126" t="s">
        <v>92</v>
      </c>
      <c r="P64" s="36">
        <v>4343</v>
      </c>
      <c r="Q64" s="97">
        <v>-8.39</v>
      </c>
      <c r="S64" s="101"/>
      <c r="U64" s="101"/>
      <c r="W64" s="101"/>
      <c r="Y64" s="101"/>
    </row>
    <row r="65" spans="1:25" s="40" customFormat="1" ht="12" customHeight="1" x14ac:dyDescent="0.45">
      <c r="A65" s="15" t="s">
        <v>77</v>
      </c>
      <c r="B65" s="34">
        <v>29859</v>
      </c>
      <c r="C65" s="98">
        <v>0.92</v>
      </c>
      <c r="D65" s="34">
        <v>33704</v>
      </c>
      <c r="E65" s="100">
        <v>-4.1399999999999997</v>
      </c>
      <c r="F65" s="34" t="s">
        <v>91</v>
      </c>
      <c r="G65" s="127" t="s">
        <v>92</v>
      </c>
      <c r="H65" s="34">
        <v>31858</v>
      </c>
      <c r="I65" s="98">
        <v>-4.09</v>
      </c>
      <c r="J65" s="34">
        <v>32685</v>
      </c>
      <c r="K65" s="100">
        <v>3.82</v>
      </c>
      <c r="L65" s="34" t="s">
        <v>91</v>
      </c>
      <c r="M65" s="127" t="s">
        <v>92</v>
      </c>
      <c r="N65" s="34">
        <v>32083</v>
      </c>
      <c r="O65" s="98">
        <v>-0.22</v>
      </c>
      <c r="P65" s="34" t="s">
        <v>91</v>
      </c>
      <c r="Q65" s="127" t="s">
        <v>92</v>
      </c>
      <c r="S65" s="101"/>
      <c r="U65" s="101"/>
      <c r="W65" s="101"/>
      <c r="Y65" s="101"/>
    </row>
    <row r="66" spans="1:25" s="40" customFormat="1" ht="12" customHeight="1" x14ac:dyDescent="0.45">
      <c r="A66" s="35" t="s">
        <v>78</v>
      </c>
      <c r="B66" s="36">
        <v>38620</v>
      </c>
      <c r="C66" s="136">
        <v>0.08</v>
      </c>
      <c r="D66" s="36">
        <v>30110</v>
      </c>
      <c r="E66" s="97">
        <v>-2.23</v>
      </c>
      <c r="F66" s="36">
        <v>34970</v>
      </c>
      <c r="G66" s="97">
        <v>-0.27</v>
      </c>
      <c r="H66" s="120" t="s">
        <v>91</v>
      </c>
      <c r="I66" s="126" t="s">
        <v>92</v>
      </c>
      <c r="J66" s="36">
        <v>31789</v>
      </c>
      <c r="K66" s="97">
        <v>-1.34</v>
      </c>
      <c r="L66" s="36">
        <v>30750</v>
      </c>
      <c r="M66" s="97">
        <v>1.04</v>
      </c>
      <c r="N66" s="36">
        <v>35770</v>
      </c>
      <c r="O66" s="97">
        <v>-4.3099999999999996</v>
      </c>
      <c r="P66" s="36">
        <v>37181</v>
      </c>
      <c r="Q66" s="97">
        <v>7.95</v>
      </c>
      <c r="R66" s="41"/>
      <c r="S66" s="42"/>
      <c r="T66" s="41"/>
      <c r="U66" s="42"/>
      <c r="V66" s="41"/>
      <c r="W66" s="42"/>
      <c r="X66" s="41"/>
      <c r="Y66" s="42"/>
    </row>
    <row r="67" spans="1:25" s="40" customFormat="1" ht="12" customHeight="1" x14ac:dyDescent="0.45">
      <c r="A67" s="15" t="s">
        <v>79</v>
      </c>
      <c r="B67" s="121">
        <v>16615</v>
      </c>
      <c r="C67" s="115">
        <v>1.22</v>
      </c>
      <c r="D67" s="34">
        <v>13555</v>
      </c>
      <c r="E67" s="98">
        <v>1.94</v>
      </c>
      <c r="F67" s="34">
        <v>16941</v>
      </c>
      <c r="G67" s="98">
        <v>0.34</v>
      </c>
      <c r="H67" s="114" t="s">
        <v>91</v>
      </c>
      <c r="I67" s="127" t="s">
        <v>92</v>
      </c>
      <c r="J67" s="34">
        <v>27473</v>
      </c>
      <c r="K67" s="98">
        <v>-5.67</v>
      </c>
      <c r="L67" s="119" t="s">
        <v>91</v>
      </c>
      <c r="M67" s="127" t="s">
        <v>92</v>
      </c>
      <c r="N67" s="34">
        <v>14414</v>
      </c>
      <c r="O67" s="98">
        <v>0.26</v>
      </c>
      <c r="P67" s="34">
        <v>21641</v>
      </c>
      <c r="Q67" s="98">
        <v>-4.43</v>
      </c>
      <c r="R67" s="41"/>
      <c r="S67" s="42"/>
      <c r="T67" s="41"/>
      <c r="U67" s="42"/>
      <c r="V67" s="41"/>
      <c r="W67" s="42"/>
      <c r="X67" s="41"/>
      <c r="Y67" s="42"/>
    </row>
    <row r="68" spans="1:25" s="40" customFormat="1" ht="12" customHeight="1" x14ac:dyDescent="0.45">
      <c r="A68" s="35" t="s">
        <v>80</v>
      </c>
      <c r="B68" s="36">
        <v>3976</v>
      </c>
      <c r="C68" s="97">
        <v>-2.98</v>
      </c>
      <c r="D68" s="36">
        <v>3222</v>
      </c>
      <c r="E68" s="97">
        <v>6.06</v>
      </c>
      <c r="F68" s="36">
        <v>3373</v>
      </c>
      <c r="G68" s="97">
        <v>1.9</v>
      </c>
      <c r="H68" s="104" t="s">
        <v>91</v>
      </c>
      <c r="I68" s="126" t="s">
        <v>92</v>
      </c>
      <c r="J68" s="36">
        <v>5269</v>
      </c>
      <c r="K68" s="97">
        <v>1.84</v>
      </c>
      <c r="L68" s="128">
        <v>3142</v>
      </c>
      <c r="M68" s="111">
        <v>4.42</v>
      </c>
      <c r="N68" s="36">
        <v>4371</v>
      </c>
      <c r="O68" s="97">
        <v>-0.97</v>
      </c>
      <c r="P68" s="36">
        <v>4925</v>
      </c>
      <c r="Q68" s="97">
        <v>1.03</v>
      </c>
      <c r="R68" s="41"/>
      <c r="S68" s="42"/>
      <c r="T68" s="41"/>
      <c r="U68" s="42"/>
      <c r="V68" s="41"/>
      <c r="W68" s="42"/>
      <c r="X68" s="41"/>
      <c r="Y68" s="42"/>
    </row>
    <row r="69" spans="1:25" s="40" customFormat="1" ht="12" customHeight="1" x14ac:dyDescent="0.45">
      <c r="A69" s="15" t="s">
        <v>81</v>
      </c>
      <c r="B69" s="34">
        <v>7138</v>
      </c>
      <c r="C69" s="98">
        <v>0.62</v>
      </c>
      <c r="D69" s="34">
        <v>7061</v>
      </c>
      <c r="E69" s="98">
        <v>-2.79</v>
      </c>
      <c r="F69" s="34">
        <v>7430</v>
      </c>
      <c r="G69" s="98">
        <v>0.23</v>
      </c>
      <c r="H69" s="34">
        <v>6688</v>
      </c>
      <c r="I69" s="98">
        <v>2.4500000000000002</v>
      </c>
      <c r="J69" s="34">
        <v>7778</v>
      </c>
      <c r="K69" s="98">
        <v>0</v>
      </c>
      <c r="L69" s="34">
        <v>4201</v>
      </c>
      <c r="M69" s="98">
        <v>-0.76</v>
      </c>
      <c r="N69" s="34">
        <v>7948</v>
      </c>
      <c r="O69" s="98">
        <v>1.9</v>
      </c>
      <c r="P69" s="34">
        <v>6937</v>
      </c>
      <c r="Q69" s="98">
        <v>-3.56</v>
      </c>
      <c r="R69" s="41"/>
      <c r="S69" s="42"/>
      <c r="T69" s="41"/>
      <c r="U69" s="42"/>
      <c r="V69" s="41"/>
      <c r="W69" s="42"/>
      <c r="X69" s="41"/>
      <c r="Y69" s="42"/>
    </row>
    <row r="70" spans="1:25" s="40" customFormat="1" ht="12" customHeight="1" x14ac:dyDescent="0.45">
      <c r="A70" s="35" t="s">
        <v>90</v>
      </c>
      <c r="B70" s="36">
        <v>2024</v>
      </c>
      <c r="C70" s="97">
        <v>1.71</v>
      </c>
      <c r="D70" s="36">
        <v>1943</v>
      </c>
      <c r="E70" s="136">
        <v>2.16</v>
      </c>
      <c r="F70" s="36">
        <v>1945</v>
      </c>
      <c r="G70" s="97">
        <v>1.89</v>
      </c>
      <c r="H70" s="36">
        <v>800</v>
      </c>
      <c r="I70" s="97">
        <v>0</v>
      </c>
      <c r="J70" s="36">
        <v>2107</v>
      </c>
      <c r="K70" s="97">
        <v>1.1499999999999999</v>
      </c>
      <c r="L70" s="36">
        <v>1915</v>
      </c>
      <c r="M70" s="97">
        <v>1.43</v>
      </c>
      <c r="N70" s="36">
        <v>1955</v>
      </c>
      <c r="O70" s="97">
        <v>-0.15</v>
      </c>
      <c r="P70" s="36">
        <v>1900</v>
      </c>
      <c r="Q70" s="97">
        <v>6.32</v>
      </c>
      <c r="S70" s="101"/>
      <c r="U70" s="101"/>
      <c r="W70" s="101"/>
      <c r="Y70" s="101"/>
    </row>
    <row r="71" spans="1:25" s="40" customFormat="1" ht="12" customHeight="1" x14ac:dyDescent="0.45">
      <c r="A71" s="15" t="s">
        <v>82</v>
      </c>
      <c r="B71" s="34">
        <v>16573</v>
      </c>
      <c r="C71" s="98">
        <v>0.55000000000000004</v>
      </c>
      <c r="D71" s="119" t="s">
        <v>91</v>
      </c>
      <c r="E71" s="127" t="s">
        <v>92</v>
      </c>
      <c r="F71" s="34">
        <v>12655</v>
      </c>
      <c r="G71" s="98">
        <v>4.33</v>
      </c>
      <c r="H71" s="34">
        <v>17405</v>
      </c>
      <c r="I71" s="98">
        <v>-1.18</v>
      </c>
      <c r="J71" s="34">
        <v>20833</v>
      </c>
      <c r="K71" s="98">
        <v>4.6500000000000004</v>
      </c>
      <c r="L71" s="34">
        <v>11336</v>
      </c>
      <c r="M71" s="98">
        <v>7.46</v>
      </c>
      <c r="N71" s="34">
        <v>16815</v>
      </c>
      <c r="O71" s="98">
        <v>0.32</v>
      </c>
      <c r="P71" s="34">
        <v>11314</v>
      </c>
      <c r="Q71" s="98">
        <v>0</v>
      </c>
      <c r="S71" s="101"/>
      <c r="U71" s="101"/>
      <c r="W71" s="101"/>
      <c r="Y71" s="101"/>
    </row>
    <row r="72" spans="1:25" s="40" customFormat="1" ht="12" customHeight="1" x14ac:dyDescent="0.45">
      <c r="A72" s="138" t="s">
        <v>83</v>
      </c>
      <c r="B72" s="139">
        <v>15260</v>
      </c>
      <c r="C72" s="140">
        <v>0.11</v>
      </c>
      <c r="D72" s="141">
        <v>18197</v>
      </c>
      <c r="E72" s="142">
        <v>-2.7</v>
      </c>
      <c r="F72" s="143" t="s">
        <v>91</v>
      </c>
      <c r="G72" s="144" t="s">
        <v>92</v>
      </c>
      <c r="H72" s="139">
        <v>11927</v>
      </c>
      <c r="I72" s="140">
        <v>-3.51</v>
      </c>
      <c r="J72" s="139">
        <v>14889</v>
      </c>
      <c r="K72" s="140">
        <v>1.81</v>
      </c>
      <c r="L72" s="141">
        <v>18905</v>
      </c>
      <c r="M72" s="145">
        <v>-0.54</v>
      </c>
      <c r="N72" s="143">
        <v>10971</v>
      </c>
      <c r="O72" s="144" t="s">
        <v>92</v>
      </c>
      <c r="P72" s="139">
        <v>18411</v>
      </c>
      <c r="Q72" s="140">
        <v>0.14000000000000001</v>
      </c>
      <c r="S72" s="101"/>
      <c r="U72" s="101"/>
      <c r="W72" s="101"/>
      <c r="Y72" s="101"/>
    </row>
    <row r="73" spans="1:25" s="40" customFormat="1" x14ac:dyDescent="0.45">
      <c r="A73" s="15"/>
      <c r="B73" s="34"/>
      <c r="C73" s="98"/>
      <c r="D73" s="121"/>
      <c r="E73" s="100"/>
      <c r="F73" s="119"/>
      <c r="G73" s="83"/>
      <c r="H73" s="34"/>
      <c r="I73" s="98"/>
      <c r="J73" s="34"/>
      <c r="K73" s="98"/>
      <c r="L73" s="121"/>
      <c r="M73" s="115"/>
      <c r="N73" s="119"/>
      <c r="O73" s="122"/>
      <c r="P73" s="34"/>
      <c r="Q73" s="98"/>
      <c r="R73" s="37"/>
      <c r="S73" s="38"/>
      <c r="T73" s="37"/>
      <c r="U73" s="38"/>
      <c r="V73" s="37"/>
      <c r="W73" s="38"/>
      <c r="X73" s="37"/>
      <c r="Y73" s="38"/>
    </row>
    <row r="74" spans="1:25" s="40" customFormat="1" x14ac:dyDescent="0.45">
      <c r="A74" s="24" t="s">
        <v>12</v>
      </c>
      <c r="B74" s="41"/>
      <c r="C74" s="42"/>
      <c r="D74" s="41"/>
      <c r="E74" s="42"/>
      <c r="F74" s="41"/>
      <c r="G74" s="42"/>
      <c r="H74" s="41"/>
      <c r="I74" s="42"/>
      <c r="J74" s="41"/>
      <c r="K74" s="42"/>
      <c r="L74" s="41"/>
      <c r="M74" s="42"/>
      <c r="N74" s="41"/>
      <c r="O74" s="42"/>
      <c r="P74" s="41"/>
      <c r="Q74" s="42"/>
      <c r="R74" s="41"/>
      <c r="S74" s="42"/>
      <c r="T74" s="41"/>
      <c r="U74" s="42"/>
      <c r="V74" s="41"/>
      <c r="W74" s="42"/>
      <c r="X74" s="41"/>
      <c r="Y74" s="42"/>
    </row>
    <row r="75" spans="1:25" s="40" customFormat="1" x14ac:dyDescent="0.45">
      <c r="A75" s="43" t="s">
        <v>13</v>
      </c>
      <c r="B75" s="41"/>
      <c r="C75" s="42"/>
      <c r="D75" s="41"/>
      <c r="E75" s="42"/>
      <c r="F75" s="41"/>
      <c r="G75" s="42"/>
      <c r="H75" s="41"/>
      <c r="I75" s="42"/>
      <c r="J75" s="41"/>
      <c r="K75" s="42"/>
      <c r="L75" s="41"/>
      <c r="M75" s="42"/>
      <c r="N75" s="41"/>
      <c r="O75" s="42"/>
      <c r="P75" s="41"/>
      <c r="Q75" s="42"/>
      <c r="R75" s="41"/>
      <c r="S75" s="42"/>
      <c r="T75" s="41"/>
      <c r="U75" s="42"/>
      <c r="V75" s="41"/>
      <c r="W75" s="42"/>
      <c r="X75" s="41"/>
      <c r="Y75" s="42"/>
    </row>
    <row r="76" spans="1:25" s="40" customFormat="1" ht="19.5" customHeight="1" x14ac:dyDescent="0.45">
      <c r="A76" s="150" t="s">
        <v>50</v>
      </c>
      <c r="B76" s="151"/>
      <c r="C76" s="151"/>
      <c r="D76" s="151"/>
      <c r="E76" s="151"/>
      <c r="F76" s="151"/>
      <c r="G76" s="151"/>
      <c r="H76" s="151"/>
      <c r="I76" s="151"/>
      <c r="J76" s="151"/>
      <c r="K76" s="151"/>
      <c r="L76" s="151"/>
      <c r="M76" s="151"/>
      <c r="N76" s="151"/>
      <c r="O76" s="151"/>
      <c r="P76" s="151"/>
      <c r="Q76" s="151"/>
      <c r="R76" s="151"/>
      <c r="S76" s="151"/>
      <c r="T76" s="151"/>
      <c r="U76" s="151"/>
      <c r="V76" s="151"/>
      <c r="W76" s="151"/>
      <c r="X76" s="151"/>
      <c r="Y76" s="151"/>
    </row>
    <row r="77" spans="1:25" s="40" customFormat="1" x14ac:dyDescent="0.45">
      <c r="A77" s="24" t="s">
        <v>14</v>
      </c>
      <c r="B77" s="44"/>
      <c r="C77" s="45"/>
      <c r="D77" s="46"/>
      <c r="E77" s="45"/>
      <c r="F77" s="46"/>
      <c r="G77" s="45"/>
      <c r="H77" s="47"/>
      <c r="I77" s="45"/>
      <c r="J77" s="44"/>
      <c r="K77" s="45"/>
      <c r="L77" s="46"/>
      <c r="M77" s="45"/>
      <c r="N77" s="46"/>
      <c r="O77" s="45"/>
      <c r="P77" s="47"/>
      <c r="Q77" s="45"/>
      <c r="R77" s="46"/>
      <c r="S77" s="48"/>
      <c r="T77" s="46"/>
      <c r="U77" s="48"/>
      <c r="V77" s="46"/>
      <c r="W77" s="48"/>
      <c r="X77" s="46"/>
      <c r="Y77" s="48"/>
    </row>
    <row r="78" spans="1:25" s="40" customFormat="1" x14ac:dyDescent="0.45">
      <c r="A78" s="49" t="s">
        <v>15</v>
      </c>
      <c r="B78" s="41"/>
      <c r="C78" s="42"/>
      <c r="D78" s="41"/>
      <c r="E78" s="42"/>
      <c r="F78" s="41"/>
      <c r="G78" s="42"/>
      <c r="H78" s="41"/>
      <c r="I78" s="42"/>
      <c r="J78" s="41"/>
      <c r="K78" s="42"/>
      <c r="L78" s="41"/>
      <c r="M78" s="42"/>
      <c r="N78" s="41"/>
      <c r="O78" s="42"/>
      <c r="P78" s="41"/>
      <c r="Q78" s="42"/>
      <c r="R78" s="41"/>
      <c r="S78" s="42"/>
      <c r="T78" s="41"/>
      <c r="U78" s="42"/>
      <c r="V78" s="41"/>
      <c r="W78" s="42"/>
      <c r="X78" s="41"/>
      <c r="Y78" s="42"/>
    </row>
    <row r="80" spans="1:25" x14ac:dyDescent="0.45">
      <c r="A80" s="8" t="str">
        <f>+Índice!A14</f>
        <v>Fecha de actualización: 9 de agosto de 2023</v>
      </c>
      <c r="B80" s="6"/>
      <c r="C80" s="7"/>
      <c r="D80" s="6"/>
      <c r="E80" s="7"/>
      <c r="F80" s="6"/>
      <c r="G80" s="7"/>
      <c r="H80" s="6"/>
      <c r="I80" s="7"/>
      <c r="J80" s="6"/>
      <c r="K80" s="7"/>
      <c r="L80" s="6"/>
      <c r="M80" s="7"/>
      <c r="N80" s="6"/>
      <c r="O80" s="7"/>
      <c r="P80" s="6"/>
      <c r="Q80" s="7"/>
    </row>
  </sheetData>
  <mergeCells count="11">
    <mergeCell ref="A76:Y76"/>
    <mergeCell ref="A4:Q5"/>
    <mergeCell ref="H9:I9"/>
    <mergeCell ref="J9:K9"/>
    <mergeCell ref="L9:M9"/>
    <mergeCell ref="N9:O9"/>
    <mergeCell ref="P9:Q9"/>
    <mergeCell ref="A9:A10"/>
    <mergeCell ref="B9:C9"/>
    <mergeCell ref="D9:E9"/>
    <mergeCell ref="F9:G9"/>
  </mergeCells>
  <pageMargins left="0.75" right="0.75" top="1" bottom="1" header="0.5" footer="0.5"/>
  <pageSetup orientation="portrait" horizontalDpi="4294967292" verticalDpi="4294967292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F2012-A8C4-4438-9A11-59B020FA0AB4}">
  <dimension ref="A1:I55"/>
  <sheetViews>
    <sheetView showGridLines="0" topLeftCell="A28" workbookViewId="0">
      <selection activeCell="C32" sqref="C32"/>
    </sheetView>
  </sheetViews>
  <sheetFormatPr baseColWidth="10" defaultColWidth="11.453125" defaultRowHeight="16" x14ac:dyDescent="0.45"/>
  <cols>
    <col min="1" max="1" width="24.453125" style="56" customWidth="1"/>
    <col min="2" max="2" width="12" style="56" bestFit="1" customWidth="1"/>
    <col min="3" max="3" width="9.453125" style="56" customWidth="1"/>
    <col min="4" max="4" width="13.54296875" style="56" bestFit="1" customWidth="1"/>
    <col min="5" max="5" width="12" style="56" customWidth="1"/>
    <col min="6" max="6" width="10.26953125" style="56" customWidth="1"/>
    <col min="7" max="7" width="9.453125" style="56" customWidth="1"/>
    <col min="8" max="8" width="10.54296875" style="56" customWidth="1"/>
    <col min="9" max="9" width="9.26953125" style="56" customWidth="1"/>
    <col min="10" max="16384" width="11.453125" style="56"/>
  </cols>
  <sheetData>
    <row r="1" spans="1:9" s="50" customFormat="1" ht="14" customHeight="1" x14ac:dyDescent="0.4"/>
    <row r="2" spans="1:9" s="50" customFormat="1" ht="33" customHeight="1" x14ac:dyDescent="0.4"/>
    <row r="3" spans="1:9" s="50" customFormat="1" ht="19" customHeight="1" x14ac:dyDescent="0.4"/>
    <row r="4" spans="1:9" s="50" customFormat="1" ht="18.75" customHeight="1" x14ac:dyDescent="0.4">
      <c r="A4" s="157" t="s">
        <v>0</v>
      </c>
      <c r="B4" s="157"/>
      <c r="C4" s="157"/>
      <c r="D4" s="157"/>
      <c r="E4" s="157"/>
      <c r="F4" s="157"/>
      <c r="G4" s="157"/>
      <c r="H4" s="157"/>
      <c r="I4" s="157"/>
    </row>
    <row r="5" spans="1:9" s="50" customFormat="1" ht="24" customHeight="1" x14ac:dyDescent="0.4">
      <c r="A5" s="157"/>
      <c r="B5" s="157"/>
      <c r="C5" s="157"/>
      <c r="D5" s="157"/>
      <c r="E5" s="157"/>
      <c r="F5" s="157"/>
      <c r="G5" s="157"/>
      <c r="H5" s="157"/>
      <c r="I5" s="157"/>
    </row>
    <row r="6" spans="1:9" s="50" customFormat="1" ht="18.75" customHeight="1" x14ac:dyDescent="0.4">
      <c r="A6" s="51" t="s">
        <v>16</v>
      </c>
      <c r="B6" s="52"/>
      <c r="C6" s="52"/>
      <c r="D6" s="52"/>
      <c r="E6" s="52"/>
      <c r="F6" s="52"/>
      <c r="G6" s="52"/>
      <c r="H6" s="52"/>
      <c r="I6" s="52"/>
    </row>
    <row r="7" spans="1:9" s="50" customFormat="1" ht="15" customHeight="1" x14ac:dyDescent="0.4">
      <c r="A7" s="51" t="s">
        <v>88</v>
      </c>
      <c r="B7" s="52"/>
      <c r="C7" s="52"/>
      <c r="D7" s="52"/>
      <c r="E7" s="52"/>
      <c r="F7" s="52"/>
      <c r="G7" s="52"/>
      <c r="H7" s="52"/>
      <c r="I7" s="52"/>
    </row>
    <row r="8" spans="1:9" s="50" customFormat="1" ht="14" x14ac:dyDescent="0.4"/>
    <row r="9" spans="1:9" x14ac:dyDescent="0.45">
      <c r="A9" s="53" t="s">
        <v>51</v>
      </c>
      <c r="B9" s="54" t="s">
        <v>2</v>
      </c>
      <c r="C9" s="54" t="s">
        <v>3</v>
      </c>
      <c r="D9" s="54" t="s">
        <v>4</v>
      </c>
      <c r="E9" s="55" t="s">
        <v>5</v>
      </c>
      <c r="F9" s="54" t="s">
        <v>6</v>
      </c>
      <c r="G9" s="54" t="s">
        <v>7</v>
      </c>
      <c r="H9" s="54" t="s">
        <v>8</v>
      </c>
      <c r="I9" s="54" t="s">
        <v>9</v>
      </c>
    </row>
    <row r="10" spans="1:9" ht="14" customHeight="1" x14ac:dyDescent="0.45">
      <c r="A10" s="57" t="s">
        <v>17</v>
      </c>
      <c r="B10" s="57"/>
      <c r="C10" s="57"/>
      <c r="D10" s="57"/>
      <c r="E10" s="57"/>
      <c r="F10" s="57"/>
      <c r="G10" s="57"/>
      <c r="H10" s="57"/>
      <c r="I10" s="57"/>
    </row>
    <row r="11" spans="1:9" ht="14" customHeight="1" x14ac:dyDescent="0.45">
      <c r="A11" s="1" t="s">
        <v>18</v>
      </c>
      <c r="B11" s="86" t="s">
        <v>92</v>
      </c>
      <c r="C11" s="58">
        <v>-27.284372331340766</v>
      </c>
      <c r="D11" s="58">
        <v>2.1645021645021689</v>
      </c>
      <c r="E11" s="86" t="s">
        <v>92</v>
      </c>
      <c r="F11" s="58">
        <v>-30.332056194125144</v>
      </c>
      <c r="G11" s="58">
        <v>-21.921590281612357</v>
      </c>
      <c r="H11" s="58">
        <v>-35.509554140127364</v>
      </c>
      <c r="I11" s="58">
        <v>-1.8573996405032989</v>
      </c>
    </row>
    <row r="12" spans="1:9" ht="14" customHeight="1" x14ac:dyDescent="0.45">
      <c r="A12" s="105" t="s">
        <v>19</v>
      </c>
      <c r="B12" s="60">
        <v>6.0115114048177487</v>
      </c>
      <c r="C12" s="60">
        <v>14.576130549025002</v>
      </c>
      <c r="D12" s="60">
        <v>20.146520146520164</v>
      </c>
      <c r="E12" s="84" t="s">
        <v>92</v>
      </c>
      <c r="F12" s="60">
        <v>14.585319351763548</v>
      </c>
      <c r="G12" s="60">
        <v>-6.5254526819268799</v>
      </c>
      <c r="H12" s="60">
        <v>-13.005927180355625</v>
      </c>
      <c r="I12" s="65">
        <v>11.506981222917666</v>
      </c>
    </row>
    <row r="13" spans="1:9" ht="14" customHeight="1" x14ac:dyDescent="0.45">
      <c r="A13" s="1" t="s">
        <v>20</v>
      </c>
      <c r="B13" s="58">
        <v>-59.806099777822666</v>
      </c>
      <c r="C13" s="58">
        <v>-64.041172521816961</v>
      </c>
      <c r="D13" s="58">
        <v>-65.249088699878499</v>
      </c>
      <c r="E13" s="58">
        <v>-58.202802967848299</v>
      </c>
      <c r="F13" s="58">
        <v>-61.532125205930811</v>
      </c>
      <c r="G13" s="58">
        <v>-64.857326753915473</v>
      </c>
      <c r="H13" s="58">
        <v>-63.60740593270954</v>
      </c>
      <c r="I13" s="58">
        <v>-63.110833853191942</v>
      </c>
    </row>
    <row r="14" spans="1:9" ht="14" customHeight="1" x14ac:dyDescent="0.45">
      <c r="A14" s="105" t="s">
        <v>21</v>
      </c>
      <c r="B14" s="61">
        <v>-28.525526597643669</v>
      </c>
      <c r="C14" s="60">
        <v>-14.4224830142063</v>
      </c>
      <c r="D14" s="60">
        <v>-39.468130012663558</v>
      </c>
      <c r="E14" s="84" t="s">
        <v>92</v>
      </c>
      <c r="F14" s="65">
        <v>5.9892606361007905</v>
      </c>
      <c r="G14" s="60">
        <v>-28.922495274102079</v>
      </c>
      <c r="H14" s="60">
        <v>-35.165217391304324</v>
      </c>
      <c r="I14" s="60">
        <v>-14.525368248772509</v>
      </c>
    </row>
    <row r="15" spans="1:9" ht="14" customHeight="1" x14ac:dyDescent="0.45">
      <c r="A15" s="1" t="s">
        <v>22</v>
      </c>
      <c r="B15" s="86" t="s">
        <v>92</v>
      </c>
      <c r="C15" s="58">
        <v>-55.584224106155553</v>
      </c>
      <c r="D15" s="58">
        <v>-5.624543462381304</v>
      </c>
      <c r="E15" s="58">
        <v>0.61068702290072441</v>
      </c>
      <c r="F15" s="58">
        <v>3.5911602209944604</v>
      </c>
      <c r="G15" s="58">
        <v>-2.799479166666663</v>
      </c>
      <c r="H15" s="58">
        <v>2.4683122081387676</v>
      </c>
      <c r="I15" s="85" t="s">
        <v>92</v>
      </c>
    </row>
    <row r="16" spans="1:9" ht="14" customHeight="1" x14ac:dyDescent="0.45">
      <c r="A16" s="105" t="s">
        <v>23</v>
      </c>
      <c r="B16" s="60">
        <v>-18.509254627313652</v>
      </c>
      <c r="C16" s="60">
        <v>15.571485463958567</v>
      </c>
      <c r="D16" s="60">
        <v>-6.0450160771704065</v>
      </c>
      <c r="E16" s="60">
        <v>-28.148507643775776</v>
      </c>
      <c r="F16" s="60">
        <v>7.8216989066442366</v>
      </c>
      <c r="G16" s="60">
        <v>-10.195779303330788</v>
      </c>
      <c r="H16" s="60">
        <v>-38.145048814504904</v>
      </c>
      <c r="I16" s="60">
        <v>-41.86842748838346</v>
      </c>
    </row>
    <row r="17" spans="1:9" ht="14" customHeight="1" x14ac:dyDescent="0.45">
      <c r="A17" s="1" t="s">
        <v>24</v>
      </c>
      <c r="B17" s="58">
        <v>-17.244294167371088</v>
      </c>
      <c r="C17" s="58">
        <v>-39.049586776859513</v>
      </c>
      <c r="D17" s="58">
        <v>-37.050199911150592</v>
      </c>
      <c r="E17" s="58">
        <v>-24.571667363142524</v>
      </c>
      <c r="F17" s="58">
        <v>-7.065669160432253</v>
      </c>
      <c r="G17" s="58">
        <v>-26.730518067043953</v>
      </c>
      <c r="H17" s="58">
        <v>-40.36817882971728</v>
      </c>
      <c r="I17" s="58">
        <v>-3.1128404669260479</v>
      </c>
    </row>
    <row r="18" spans="1:9" ht="14" customHeight="1" x14ac:dyDescent="0.45">
      <c r="A18" s="105" t="s">
        <v>25</v>
      </c>
      <c r="B18" s="60">
        <v>-48.019801980198032</v>
      </c>
      <c r="C18" s="60">
        <v>-30.965559655596575</v>
      </c>
      <c r="D18" s="60">
        <v>-49.404761904761898</v>
      </c>
      <c r="E18" s="60">
        <v>-48.493863889921876</v>
      </c>
      <c r="F18" s="60">
        <v>-50.760378133990947</v>
      </c>
      <c r="G18" s="60">
        <v>-21.536600120992144</v>
      </c>
      <c r="H18" s="60">
        <v>-46.476578411405292</v>
      </c>
      <c r="I18" s="60">
        <v>-38.931034482758605</v>
      </c>
    </row>
    <row r="19" spans="1:9" ht="14" customHeight="1" x14ac:dyDescent="0.45">
      <c r="A19" s="1" t="s">
        <v>26</v>
      </c>
      <c r="B19" s="58">
        <v>-45.208004212743568</v>
      </c>
      <c r="C19" s="58">
        <v>-50.845368087354714</v>
      </c>
      <c r="D19" s="58">
        <v>-60.031298904538346</v>
      </c>
      <c r="E19" s="58">
        <v>-64.210055199164557</v>
      </c>
      <c r="F19" s="58">
        <v>-58.571790326664988</v>
      </c>
      <c r="G19" s="58">
        <v>-57.593066771715598</v>
      </c>
      <c r="H19" s="58">
        <v>-73.980936929628882</v>
      </c>
      <c r="I19" s="58">
        <v>-50.303030303030297</v>
      </c>
    </row>
    <row r="20" spans="1:9" ht="14" customHeight="1" x14ac:dyDescent="0.45">
      <c r="A20" s="105" t="s">
        <v>27</v>
      </c>
      <c r="B20" s="60">
        <v>-52.091388400702989</v>
      </c>
      <c r="C20" s="60">
        <v>-68.175582990397814</v>
      </c>
      <c r="D20" s="60">
        <v>-14.104595879556248</v>
      </c>
      <c r="E20" s="60">
        <v>-54.111600587371512</v>
      </c>
      <c r="F20" s="60">
        <v>-54.515327257663635</v>
      </c>
      <c r="G20" s="60">
        <v>-62.52012882447665</v>
      </c>
      <c r="H20" s="60">
        <v>-74.213557820115199</v>
      </c>
      <c r="I20" s="88">
        <v>-50.471204188481678</v>
      </c>
    </row>
    <row r="21" spans="1:9" ht="14" customHeight="1" x14ac:dyDescent="0.45">
      <c r="A21" s="1" t="s">
        <v>28</v>
      </c>
      <c r="B21" s="58">
        <v>-27.332949308755751</v>
      </c>
      <c r="C21" s="58">
        <v>-13.545424729419498</v>
      </c>
      <c r="D21" s="58">
        <v>-17.350369872225968</v>
      </c>
      <c r="E21" s="86" t="s">
        <v>92</v>
      </c>
      <c r="F21" s="62">
        <v>-8.6855144272806832</v>
      </c>
      <c r="G21" s="62">
        <v>-12.189141856392304</v>
      </c>
      <c r="H21" s="58">
        <v>-42.087884175768352</v>
      </c>
      <c r="I21" s="58">
        <v>-11.044953855314088</v>
      </c>
    </row>
    <row r="22" spans="1:9" ht="14" customHeight="1" x14ac:dyDescent="0.45">
      <c r="A22" s="106" t="s">
        <v>29</v>
      </c>
      <c r="B22" s="116" t="s">
        <v>92</v>
      </c>
      <c r="C22" s="64">
        <v>-14.854586129753876</v>
      </c>
      <c r="D22" s="64">
        <v>-13.151364764267992</v>
      </c>
      <c r="E22" s="64">
        <v>-16.567505720823807</v>
      </c>
      <c r="F22" s="64">
        <v>-10.004631773969418</v>
      </c>
      <c r="G22" s="64">
        <v>-48.302618816682838</v>
      </c>
      <c r="H22" s="64">
        <v>-71.646746347941573</v>
      </c>
      <c r="I22" s="89">
        <v>-13.254593175853024</v>
      </c>
    </row>
    <row r="23" spans="1:9" ht="14" customHeight="1" x14ac:dyDescent="0.45">
      <c r="A23" s="57" t="s">
        <v>30</v>
      </c>
      <c r="B23" s="146"/>
      <c r="C23" s="146"/>
      <c r="D23" s="146"/>
      <c r="E23" s="146"/>
      <c r="F23" s="146"/>
      <c r="G23" s="146"/>
      <c r="H23" s="146"/>
      <c r="I23" s="146"/>
    </row>
    <row r="24" spans="1:9" ht="14" customHeight="1" x14ac:dyDescent="0.45">
      <c r="A24" s="1" t="s">
        <v>49</v>
      </c>
      <c r="B24" s="86" t="s">
        <v>92</v>
      </c>
      <c r="C24" s="58">
        <v>-23.692704970948995</v>
      </c>
      <c r="D24" s="86" t="s">
        <v>92</v>
      </c>
      <c r="E24" s="86" t="s">
        <v>92</v>
      </c>
      <c r="F24" s="62">
        <v>-34.292433254945351</v>
      </c>
      <c r="G24" s="85" t="s">
        <v>92</v>
      </c>
      <c r="H24" s="58">
        <v>-44.706874736398149</v>
      </c>
      <c r="I24" s="62">
        <v>-37.013698630136979</v>
      </c>
    </row>
    <row r="25" spans="1:9" ht="14" customHeight="1" x14ac:dyDescent="0.45">
      <c r="A25" s="105" t="s">
        <v>31</v>
      </c>
      <c r="B25" s="60">
        <v>-10.416666666666686</v>
      </c>
      <c r="C25" s="60">
        <v>0.31978072179075223</v>
      </c>
      <c r="D25" s="60">
        <v>-6.7824199674443868</v>
      </c>
      <c r="E25" s="84" t="s">
        <v>92</v>
      </c>
      <c r="F25" s="60">
        <v>6.6494512588767263</v>
      </c>
      <c r="G25" s="60">
        <v>-2.876712328767117</v>
      </c>
      <c r="H25" s="60">
        <v>6.2268803945745965</v>
      </c>
      <c r="I25" s="60">
        <v>4.1551246537396169</v>
      </c>
    </row>
    <row r="26" spans="1:9" ht="14" customHeight="1" x14ac:dyDescent="0.45">
      <c r="A26" s="1" t="s">
        <v>32</v>
      </c>
      <c r="B26" s="62">
        <v>0.53050397877985045</v>
      </c>
      <c r="C26" s="58">
        <v>49.493638016099695</v>
      </c>
      <c r="D26" s="86" t="s">
        <v>92</v>
      </c>
      <c r="E26" s="58">
        <v>11.985018726591745</v>
      </c>
      <c r="F26" s="58">
        <v>37.767475035663331</v>
      </c>
      <c r="G26" s="86" t="s">
        <v>92</v>
      </c>
      <c r="H26" s="58">
        <v>11.730072463768115</v>
      </c>
      <c r="I26" s="62">
        <v>14.815803523758708</v>
      </c>
    </row>
    <row r="27" spans="1:9" ht="14" customHeight="1" x14ac:dyDescent="0.45">
      <c r="A27" s="105" t="s">
        <v>33</v>
      </c>
      <c r="B27" s="84" t="s">
        <v>92</v>
      </c>
      <c r="C27" s="60">
        <v>47.85425101214571</v>
      </c>
      <c r="D27" s="60">
        <v>48.731546509961341</v>
      </c>
      <c r="E27" s="87" t="s">
        <v>92</v>
      </c>
      <c r="F27" s="65">
        <v>60.268456375838952</v>
      </c>
      <c r="G27" s="87" t="s">
        <v>92</v>
      </c>
      <c r="H27" s="60">
        <v>40.003638348189938</v>
      </c>
      <c r="I27" s="60">
        <v>21.401167639699771</v>
      </c>
    </row>
    <row r="28" spans="1:9" ht="14" customHeight="1" x14ac:dyDescent="0.45">
      <c r="A28" s="1" t="s">
        <v>34</v>
      </c>
      <c r="B28" s="58">
        <v>24.849699398797618</v>
      </c>
      <c r="C28" s="58">
        <v>37.081891580161482</v>
      </c>
      <c r="D28" s="58">
        <v>22.302158273381288</v>
      </c>
      <c r="E28" s="58">
        <v>11.111111111111072</v>
      </c>
      <c r="F28" s="62">
        <v>26.096033402922746</v>
      </c>
      <c r="G28" s="58">
        <v>65.339074273412322</v>
      </c>
      <c r="H28" s="58">
        <v>20.528367258553494</v>
      </c>
      <c r="I28" s="58">
        <v>18.854886475814393</v>
      </c>
    </row>
    <row r="29" spans="1:9" ht="14" customHeight="1" x14ac:dyDescent="0.45">
      <c r="A29" s="105" t="s">
        <v>52</v>
      </c>
      <c r="B29" s="65">
        <v>6.2188700725771984</v>
      </c>
      <c r="C29" s="87" t="s">
        <v>92</v>
      </c>
      <c r="D29" s="60">
        <v>-46.576271186440657</v>
      </c>
      <c r="E29" s="60">
        <v>-31.15398356555913</v>
      </c>
      <c r="F29" s="87" t="s">
        <v>92</v>
      </c>
      <c r="G29" s="65">
        <v>-47.65784114052952</v>
      </c>
      <c r="H29" s="60">
        <v>3.1276778063410449</v>
      </c>
      <c r="I29" s="60">
        <v>-17.861111111111118</v>
      </c>
    </row>
    <row r="30" spans="1:9" ht="14" customHeight="1" x14ac:dyDescent="0.45">
      <c r="A30" s="1" t="s">
        <v>35</v>
      </c>
      <c r="B30" s="58">
        <v>12.090680100755623</v>
      </c>
      <c r="C30" s="58">
        <v>5.9865900383141657</v>
      </c>
      <c r="D30" s="58">
        <v>8.3783149495423537</v>
      </c>
      <c r="E30" s="58">
        <v>6.8186245860120565</v>
      </c>
      <c r="F30" s="58">
        <v>7.2783045175683458</v>
      </c>
      <c r="G30" s="58">
        <v>10.819605450477932</v>
      </c>
      <c r="H30" s="58">
        <v>12.318649432867312</v>
      </c>
      <c r="I30" s="58">
        <v>12.765399737876781</v>
      </c>
    </row>
    <row r="31" spans="1:9" ht="14" customHeight="1" x14ac:dyDescent="0.45">
      <c r="A31" s="105" t="s">
        <v>36</v>
      </c>
      <c r="B31" s="60">
        <v>137.14419038730759</v>
      </c>
      <c r="C31" s="60">
        <v>205.35519125683049</v>
      </c>
      <c r="D31" s="60">
        <v>171.7220543806647</v>
      </c>
      <c r="E31" s="135" t="s">
        <v>92</v>
      </c>
      <c r="F31" s="65">
        <v>64.050751879699192</v>
      </c>
      <c r="G31" s="60">
        <v>209.18790752815647</v>
      </c>
      <c r="H31" s="60">
        <v>150.56444026340549</v>
      </c>
      <c r="I31" s="60">
        <v>134.77157360406099</v>
      </c>
    </row>
    <row r="32" spans="1:9" ht="14" customHeight="1" x14ac:dyDescent="0.45">
      <c r="A32" s="1" t="s">
        <v>37</v>
      </c>
      <c r="B32" s="66">
        <v>19.750755287009071</v>
      </c>
      <c r="C32" s="66">
        <v>235.39865513928916</v>
      </c>
      <c r="D32" s="58">
        <v>264.20873511060699</v>
      </c>
      <c r="E32" s="85" t="s">
        <v>92</v>
      </c>
      <c r="F32" s="58">
        <v>225.64102564102564</v>
      </c>
      <c r="G32" s="58">
        <v>62.479541734860874</v>
      </c>
      <c r="H32" s="58">
        <v>297.29032258064512</v>
      </c>
      <c r="I32" s="58">
        <v>219.79328165374676</v>
      </c>
    </row>
    <row r="33" spans="1:9" ht="14" customHeight="1" x14ac:dyDescent="0.45">
      <c r="A33" s="105" t="s">
        <v>53</v>
      </c>
      <c r="B33" s="87" t="s">
        <v>92</v>
      </c>
      <c r="C33" s="60">
        <v>14.567769477054405</v>
      </c>
      <c r="D33" s="60">
        <v>28.518385435381475</v>
      </c>
      <c r="E33" s="60">
        <v>4.8290892406515296</v>
      </c>
      <c r="F33" s="60">
        <v>17.039711191335762</v>
      </c>
      <c r="G33" s="60">
        <v>5.7665709117991293</v>
      </c>
      <c r="H33" s="60">
        <v>22.503979986354317</v>
      </c>
      <c r="I33" s="60">
        <v>6.4998132237579442</v>
      </c>
    </row>
    <row r="34" spans="1:9" ht="14" customHeight="1" x14ac:dyDescent="0.45">
      <c r="A34" s="1" t="s">
        <v>38</v>
      </c>
      <c r="B34" s="86" t="s">
        <v>92</v>
      </c>
      <c r="C34" s="58">
        <v>27.028676021964635</v>
      </c>
      <c r="D34" s="58">
        <v>11.814345991561193</v>
      </c>
      <c r="E34" s="86" t="s">
        <v>92</v>
      </c>
      <c r="F34" s="58">
        <v>33.541852844801909</v>
      </c>
      <c r="G34" s="58">
        <v>21.451104100946417</v>
      </c>
      <c r="H34" s="58">
        <v>22.709627329192529</v>
      </c>
      <c r="I34" s="58">
        <v>30.568525130458646</v>
      </c>
    </row>
    <row r="35" spans="1:9" ht="14" customHeight="1" x14ac:dyDescent="0.45">
      <c r="A35" s="105" t="s">
        <v>39</v>
      </c>
      <c r="B35" s="60">
        <v>16.585704371963939</v>
      </c>
      <c r="C35" s="60">
        <v>-2.1733149931224105</v>
      </c>
      <c r="D35" s="60">
        <v>32.607062359128513</v>
      </c>
      <c r="E35" s="60">
        <v>17.771000831716076</v>
      </c>
      <c r="F35" s="60">
        <v>24.966261808367072</v>
      </c>
      <c r="G35" s="60">
        <v>23.710247349823319</v>
      </c>
      <c r="H35" s="60">
        <v>-8.5820895522387808</v>
      </c>
      <c r="I35" s="60">
        <v>-6.8921989396616752</v>
      </c>
    </row>
    <row r="36" spans="1:9" ht="14" customHeight="1" x14ac:dyDescent="0.45">
      <c r="A36" s="1" t="s">
        <v>40</v>
      </c>
      <c r="B36" s="137" t="s">
        <v>92</v>
      </c>
      <c r="C36" s="58">
        <v>47.350427350427402</v>
      </c>
      <c r="D36" s="58">
        <v>41.410129096325733</v>
      </c>
      <c r="E36" s="86" t="s">
        <v>92</v>
      </c>
      <c r="F36" s="85" t="s">
        <v>92</v>
      </c>
      <c r="G36" s="86" t="s">
        <v>92</v>
      </c>
      <c r="H36" s="58">
        <v>64.112458654906291</v>
      </c>
      <c r="I36" s="58">
        <v>48.471926083866364</v>
      </c>
    </row>
    <row r="37" spans="1:9" ht="14" customHeight="1" x14ac:dyDescent="0.45">
      <c r="A37" s="105" t="s">
        <v>54</v>
      </c>
      <c r="B37" s="84" t="s">
        <v>92</v>
      </c>
      <c r="C37" s="87" t="s">
        <v>92</v>
      </c>
      <c r="D37" s="60">
        <v>41.938674579624127</v>
      </c>
      <c r="E37" s="87" t="s">
        <v>92</v>
      </c>
      <c r="F37" s="60">
        <v>17.999019127023018</v>
      </c>
      <c r="G37" s="60">
        <v>49.180327868852494</v>
      </c>
      <c r="H37" s="60">
        <v>19.762543086939878</v>
      </c>
      <c r="I37" s="60">
        <v>24.060150375939827</v>
      </c>
    </row>
    <row r="38" spans="1:9" ht="14" customHeight="1" x14ac:dyDescent="0.45">
      <c r="A38" s="1" t="s">
        <v>41</v>
      </c>
      <c r="B38" s="58">
        <v>6.7307692307692513</v>
      </c>
      <c r="C38" s="58">
        <v>13.304721030042943</v>
      </c>
      <c r="D38" s="58">
        <v>23.762376237623762</v>
      </c>
      <c r="E38" s="86" t="s">
        <v>92</v>
      </c>
      <c r="F38" s="86" t="s">
        <v>92</v>
      </c>
      <c r="G38" s="58">
        <v>9.873949579831919</v>
      </c>
      <c r="H38" s="86" t="s">
        <v>92</v>
      </c>
      <c r="I38" s="86" t="s">
        <v>92</v>
      </c>
    </row>
    <row r="39" spans="1:9" ht="14" customHeight="1" x14ac:dyDescent="0.45">
      <c r="A39" s="106" t="s">
        <v>42</v>
      </c>
      <c r="B39" s="64">
        <v>104.19240953221541</v>
      </c>
      <c r="C39" s="64">
        <v>65.154556403050989</v>
      </c>
      <c r="D39" s="64">
        <v>97.368421052631575</v>
      </c>
      <c r="E39" s="64">
        <v>85.444015444015434</v>
      </c>
      <c r="F39" s="64">
        <v>99.90680335507929</v>
      </c>
      <c r="G39" s="67">
        <v>37.905918057663143</v>
      </c>
      <c r="H39" s="64">
        <v>101.60320641282566</v>
      </c>
      <c r="I39" s="64">
        <v>101.99619771863114</v>
      </c>
    </row>
    <row r="40" spans="1:9" ht="14" customHeight="1" x14ac:dyDescent="0.45">
      <c r="A40" s="57" t="s">
        <v>43</v>
      </c>
      <c r="B40" s="146"/>
      <c r="C40" s="146"/>
      <c r="D40" s="146"/>
      <c r="E40" s="146"/>
      <c r="F40" s="146"/>
      <c r="G40" s="146"/>
      <c r="H40" s="146"/>
      <c r="I40" s="146"/>
    </row>
    <row r="41" spans="1:9" ht="14" customHeight="1" x14ac:dyDescent="0.45">
      <c r="A41" s="1" t="s">
        <v>44</v>
      </c>
      <c r="B41" s="85" t="s">
        <v>92</v>
      </c>
      <c r="C41" s="58">
        <v>-32.178452776459423</v>
      </c>
      <c r="D41" s="58">
        <v>3.9858281665190232</v>
      </c>
      <c r="E41" s="85" t="s">
        <v>92</v>
      </c>
      <c r="F41" s="58">
        <v>-24.370794916521309</v>
      </c>
      <c r="G41" s="58">
        <v>17.063205960105734</v>
      </c>
      <c r="H41" s="58">
        <v>-9.5490716180371198</v>
      </c>
      <c r="I41" s="62">
        <v>0.97470410768161209</v>
      </c>
    </row>
    <row r="42" spans="1:9" ht="14" customHeight="1" x14ac:dyDescent="0.45">
      <c r="A42" s="105" t="s">
        <v>45</v>
      </c>
      <c r="B42" s="60">
        <v>-27.767265846736056</v>
      </c>
      <c r="C42" s="60">
        <v>-46.185737976782747</v>
      </c>
      <c r="D42" s="60">
        <v>-48.154433602036484</v>
      </c>
      <c r="E42" s="60">
        <v>-46.189868028948489</v>
      </c>
      <c r="F42" s="60">
        <v>-56.869139828781087</v>
      </c>
      <c r="G42" s="87" t="s">
        <v>92</v>
      </c>
      <c r="H42" s="60">
        <v>-55.704488778054873</v>
      </c>
      <c r="I42" s="60">
        <v>-52.641599238457879</v>
      </c>
    </row>
    <row r="43" spans="1:9" ht="14" customHeight="1" x14ac:dyDescent="0.45">
      <c r="A43" s="1" t="s">
        <v>55</v>
      </c>
      <c r="B43" s="86" t="s">
        <v>92</v>
      </c>
      <c r="C43" s="58">
        <v>5.2806192977605804</v>
      </c>
      <c r="D43" s="58">
        <v>15.529219452390697</v>
      </c>
      <c r="E43" s="58">
        <v>10.486150367439206</v>
      </c>
      <c r="F43" s="58">
        <v>-1.3559322033898535</v>
      </c>
      <c r="G43" s="58">
        <v>-1.9512195121951126</v>
      </c>
      <c r="H43" s="58">
        <v>9.6774193548387011</v>
      </c>
      <c r="I43" s="58">
        <v>2.2742254449571453</v>
      </c>
    </row>
    <row r="44" spans="1:9" ht="14" customHeight="1" x14ac:dyDescent="0.45">
      <c r="A44" s="105" t="s">
        <v>46</v>
      </c>
      <c r="B44" s="60">
        <v>6.8229636308987374</v>
      </c>
      <c r="C44" s="60">
        <v>-28.146453089244851</v>
      </c>
      <c r="D44" s="60">
        <v>-32.783462100647313</v>
      </c>
      <c r="E44" s="60">
        <v>29.716245712503909</v>
      </c>
      <c r="F44" s="60">
        <v>-4.9719626168224229</v>
      </c>
      <c r="G44" s="60">
        <v>-35.641461342395921</v>
      </c>
      <c r="H44" s="60">
        <v>-10.207441554165298</v>
      </c>
      <c r="I44" s="60">
        <v>-4.7981721249047649</v>
      </c>
    </row>
    <row r="45" spans="1:9" ht="14" customHeight="1" x14ac:dyDescent="0.45">
      <c r="A45" s="107" t="s">
        <v>47</v>
      </c>
      <c r="B45" s="69">
        <v>17.544910179640706</v>
      </c>
      <c r="C45" s="69">
        <v>-25.194300518134703</v>
      </c>
      <c r="D45" s="69">
        <v>-29.078665442301798</v>
      </c>
      <c r="E45" s="69">
        <v>19.826435246995967</v>
      </c>
      <c r="F45" s="69">
        <v>-42.836979534227247</v>
      </c>
      <c r="G45" s="69">
        <v>-31.055019852524101</v>
      </c>
      <c r="H45" s="69">
        <v>-23.919999999999998</v>
      </c>
      <c r="I45" s="69">
        <v>-42.909490655917928</v>
      </c>
    </row>
    <row r="46" spans="1:9" x14ac:dyDescent="0.45">
      <c r="A46" s="50"/>
      <c r="B46" s="58"/>
      <c r="C46" s="58"/>
      <c r="D46" s="58"/>
      <c r="E46" s="58"/>
      <c r="F46" s="58"/>
      <c r="G46" s="58"/>
      <c r="H46" s="58"/>
      <c r="I46" s="58"/>
    </row>
    <row r="47" spans="1:9" x14ac:dyDescent="0.45">
      <c r="A47" s="70" t="s">
        <v>12</v>
      </c>
      <c r="B47" s="71"/>
      <c r="C47" s="72"/>
      <c r="D47" s="72"/>
      <c r="E47" s="71"/>
      <c r="F47" s="72"/>
      <c r="G47" s="72"/>
      <c r="H47" s="72"/>
      <c r="I47" s="72"/>
    </row>
    <row r="48" spans="1:9" x14ac:dyDescent="0.45">
      <c r="A48" s="73" t="s">
        <v>57</v>
      </c>
      <c r="B48" s="73"/>
      <c r="C48" s="73"/>
      <c r="D48" s="73"/>
      <c r="E48" s="73"/>
      <c r="F48" s="73"/>
      <c r="G48" s="73"/>
      <c r="H48" s="73"/>
      <c r="I48" s="73"/>
    </row>
    <row r="49" spans="1:9" x14ac:dyDescent="0.45">
      <c r="A49" s="74" t="s">
        <v>14</v>
      </c>
      <c r="B49" s="71"/>
      <c r="C49" s="72"/>
      <c r="D49" s="72"/>
      <c r="E49" s="71"/>
      <c r="F49" s="72"/>
      <c r="G49" s="72"/>
      <c r="H49" s="72"/>
      <c r="I49" s="72"/>
    </row>
    <row r="50" spans="1:9" x14ac:dyDescent="0.45">
      <c r="A50" s="75" t="s">
        <v>15</v>
      </c>
      <c r="B50" s="76"/>
      <c r="C50" s="76"/>
      <c r="D50" s="76"/>
      <c r="E50" s="76"/>
      <c r="F50" s="76"/>
      <c r="G50" s="76"/>
      <c r="H50" s="76"/>
      <c r="I50" s="76"/>
    </row>
    <row r="51" spans="1:9" x14ac:dyDescent="0.45">
      <c r="A51" s="75"/>
      <c r="B51" s="6"/>
      <c r="C51" s="7"/>
      <c r="D51" s="6"/>
      <c r="E51" s="7"/>
      <c r="F51" s="6"/>
      <c r="G51" s="7"/>
      <c r="H51" s="6"/>
      <c r="I51" s="7"/>
    </row>
    <row r="52" spans="1:9" x14ac:dyDescent="0.45">
      <c r="A52" s="77" t="str">
        <f>+Índice!A14</f>
        <v>Fecha de actualización: 9 de agosto de 2023</v>
      </c>
      <c r="B52" s="6"/>
      <c r="C52" s="7"/>
      <c r="D52" s="6"/>
      <c r="E52" s="7"/>
      <c r="F52" s="6"/>
      <c r="G52" s="7"/>
      <c r="H52" s="6"/>
      <c r="I52" s="7"/>
    </row>
    <row r="53" spans="1:9" x14ac:dyDescent="0.45">
      <c r="A53" s="75"/>
      <c r="B53" s="6"/>
      <c r="C53" s="7"/>
      <c r="D53" s="6"/>
      <c r="E53" s="7"/>
      <c r="F53" s="6"/>
      <c r="G53" s="7"/>
      <c r="H53" s="6"/>
      <c r="I53" s="7"/>
    </row>
    <row r="54" spans="1:9" x14ac:dyDescent="0.45">
      <c r="A54" s="75"/>
      <c r="B54" s="6"/>
      <c r="C54" s="7"/>
      <c r="D54" s="6"/>
      <c r="E54" s="7"/>
      <c r="F54" s="6"/>
      <c r="G54" s="7"/>
      <c r="H54" s="6"/>
      <c r="I54" s="7"/>
    </row>
    <row r="55" spans="1:9" x14ac:dyDescent="0.45">
      <c r="A55" s="75"/>
      <c r="B55" s="6"/>
      <c r="C55" s="7"/>
      <c r="D55" s="6"/>
      <c r="E55" s="7"/>
      <c r="F55" s="6"/>
      <c r="G55" s="7"/>
      <c r="H55" s="6"/>
      <c r="I55" s="7"/>
    </row>
  </sheetData>
  <mergeCells count="1">
    <mergeCell ref="A4:I5"/>
  </mergeCells>
  <pageMargins left="0.75" right="0.75" top="1" bottom="1" header="0.5" footer="0.5"/>
  <pageSetup orientation="portrait" horizontalDpi="4294967292" verticalDpi="4294967292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A5B01-133B-4735-A10B-A521B9ED8989}">
  <dimension ref="A1:I55"/>
  <sheetViews>
    <sheetView showGridLines="0" tabSelected="1" topLeftCell="A22" workbookViewId="0">
      <selection activeCell="C32" sqref="C32"/>
    </sheetView>
  </sheetViews>
  <sheetFormatPr baseColWidth="10" defaultColWidth="11.453125" defaultRowHeight="16" x14ac:dyDescent="0.45"/>
  <cols>
    <col min="1" max="1" width="24.453125" style="56" customWidth="1"/>
    <col min="2" max="2" width="12" style="56" bestFit="1" customWidth="1"/>
    <col min="3" max="3" width="9.453125" style="56" customWidth="1"/>
    <col min="4" max="4" width="13.54296875" style="56" bestFit="1" customWidth="1"/>
    <col min="5" max="5" width="12" style="56" customWidth="1"/>
    <col min="6" max="6" width="10.26953125" style="56" customWidth="1"/>
    <col min="7" max="7" width="9.453125" style="56" customWidth="1"/>
    <col min="8" max="8" width="10.54296875" style="56" customWidth="1"/>
    <col min="9" max="9" width="9.26953125" style="56" customWidth="1"/>
    <col min="10" max="16384" width="11.453125" style="56"/>
  </cols>
  <sheetData>
    <row r="1" spans="1:9" s="50" customFormat="1" ht="14" customHeight="1" x14ac:dyDescent="0.4"/>
    <row r="2" spans="1:9" s="50" customFormat="1" ht="33" customHeight="1" x14ac:dyDescent="0.4"/>
    <row r="3" spans="1:9" s="50" customFormat="1" ht="19" customHeight="1" x14ac:dyDescent="0.4"/>
    <row r="4" spans="1:9" s="50" customFormat="1" ht="18.75" customHeight="1" x14ac:dyDescent="0.4">
      <c r="A4" s="157" t="s">
        <v>0</v>
      </c>
      <c r="B4" s="157"/>
      <c r="C4" s="157"/>
      <c r="D4" s="157"/>
      <c r="E4" s="157"/>
      <c r="F4" s="157"/>
      <c r="G4" s="157"/>
      <c r="H4" s="157"/>
      <c r="I4" s="157"/>
    </row>
    <row r="5" spans="1:9" s="50" customFormat="1" ht="27.75" customHeight="1" x14ac:dyDescent="0.4">
      <c r="A5" s="157"/>
      <c r="B5" s="157"/>
      <c r="C5" s="157"/>
      <c r="D5" s="157"/>
      <c r="E5" s="157"/>
      <c r="F5" s="157"/>
      <c r="G5" s="157"/>
      <c r="H5" s="157"/>
      <c r="I5" s="157"/>
    </row>
    <row r="6" spans="1:9" s="50" customFormat="1" ht="18.75" customHeight="1" x14ac:dyDescent="0.4">
      <c r="A6" s="51" t="s">
        <v>16</v>
      </c>
      <c r="B6" s="52"/>
      <c r="C6" s="52"/>
      <c r="D6" s="52"/>
      <c r="E6" s="52"/>
      <c r="F6" s="52"/>
      <c r="G6" s="52"/>
      <c r="H6" s="52"/>
      <c r="I6" s="52"/>
    </row>
    <row r="7" spans="1:9" s="50" customFormat="1" ht="15" customHeight="1" x14ac:dyDescent="0.4">
      <c r="A7" s="51" t="s">
        <v>89</v>
      </c>
      <c r="B7" s="52"/>
      <c r="C7" s="52"/>
      <c r="D7" s="52"/>
      <c r="E7" s="52"/>
      <c r="F7" s="52"/>
      <c r="G7" s="52"/>
      <c r="H7" s="52"/>
      <c r="I7" s="52"/>
    </row>
    <row r="8" spans="1:9" s="50" customFormat="1" ht="14" x14ac:dyDescent="0.4"/>
    <row r="9" spans="1:9" x14ac:dyDescent="0.45">
      <c r="A9" s="53" t="s">
        <v>51</v>
      </c>
      <c r="B9" s="78" t="s">
        <v>2</v>
      </c>
      <c r="C9" s="78" t="s">
        <v>3</v>
      </c>
      <c r="D9" s="78" t="s">
        <v>4</v>
      </c>
      <c r="E9" s="79" t="s">
        <v>5</v>
      </c>
      <c r="F9" s="78" t="s">
        <v>6</v>
      </c>
      <c r="G9" s="78" t="s">
        <v>7</v>
      </c>
      <c r="H9" s="78" t="s">
        <v>8</v>
      </c>
      <c r="I9" s="78" t="s">
        <v>9</v>
      </c>
    </row>
    <row r="10" spans="1:9" ht="14" customHeight="1" x14ac:dyDescent="0.45">
      <c r="A10" s="57" t="s">
        <v>17</v>
      </c>
      <c r="B10" s="57"/>
      <c r="C10" s="57"/>
      <c r="D10" s="57"/>
      <c r="E10" s="57"/>
      <c r="F10" s="57"/>
      <c r="G10" s="57"/>
      <c r="H10" s="57"/>
      <c r="I10" s="57"/>
    </row>
    <row r="11" spans="1:9" ht="14" customHeight="1" x14ac:dyDescent="0.45">
      <c r="A11" s="50" t="s">
        <v>18</v>
      </c>
      <c r="B11" s="86" t="s">
        <v>92</v>
      </c>
      <c r="C11" s="58">
        <v>-18.242918867018766</v>
      </c>
      <c r="D11" s="58">
        <v>15.591836734693887</v>
      </c>
      <c r="E11" s="86" t="s">
        <v>92</v>
      </c>
      <c r="F11" s="58">
        <v>-21.284271284271263</v>
      </c>
      <c r="G11" s="58">
        <v>-2.145328719723183</v>
      </c>
      <c r="H11" s="58">
        <v>-26.895306859205746</v>
      </c>
      <c r="I11" s="58">
        <v>1.048735348550256</v>
      </c>
    </row>
    <row r="12" spans="1:9" ht="14" customHeight="1" x14ac:dyDescent="0.45">
      <c r="A12" s="59" t="s">
        <v>19</v>
      </c>
      <c r="B12" s="60">
        <v>1.8327019555646862</v>
      </c>
      <c r="C12" s="60">
        <v>35.575192276223099</v>
      </c>
      <c r="D12" s="60">
        <v>42.96388542963885</v>
      </c>
      <c r="E12" s="84" t="s">
        <v>92</v>
      </c>
      <c r="F12" s="60">
        <v>52.828989192625507</v>
      </c>
      <c r="G12" s="60">
        <v>14.19031719532553</v>
      </c>
      <c r="H12" s="60">
        <v>15.386343216531895</v>
      </c>
      <c r="I12" s="65">
        <v>52.035010940919022</v>
      </c>
    </row>
    <row r="13" spans="1:9" ht="14" customHeight="1" x14ac:dyDescent="0.45">
      <c r="A13" s="50" t="s">
        <v>20</v>
      </c>
      <c r="B13" s="58">
        <v>-18.54277527629965</v>
      </c>
      <c r="C13" s="58">
        <v>-30.553154710458085</v>
      </c>
      <c r="D13" s="58">
        <v>-38.095238095238116</v>
      </c>
      <c r="E13" s="58">
        <v>-22.029988465974615</v>
      </c>
      <c r="F13" s="58">
        <v>-25.33972821742606</v>
      </c>
      <c r="G13" s="58">
        <v>-16.214833759590796</v>
      </c>
      <c r="H13" s="58">
        <v>-28.482003129890476</v>
      </c>
      <c r="I13" s="58">
        <v>-23.862660944206016</v>
      </c>
    </row>
    <row r="14" spans="1:9" ht="14" customHeight="1" x14ac:dyDescent="0.45">
      <c r="A14" s="59" t="s">
        <v>21</v>
      </c>
      <c r="B14" s="61">
        <v>-5.3427895981086992</v>
      </c>
      <c r="C14" s="60">
        <v>12.642276422764255</v>
      </c>
      <c r="D14" s="60">
        <v>-3.7583892617449433</v>
      </c>
      <c r="E14" s="84" t="s">
        <v>92</v>
      </c>
      <c r="F14" s="65">
        <v>0.46985121378233519</v>
      </c>
      <c r="G14" s="60">
        <v>-5.8823529411764719</v>
      </c>
      <c r="H14" s="60">
        <v>-24.595469255663403</v>
      </c>
      <c r="I14" s="60">
        <v>-21.906542056074752</v>
      </c>
    </row>
    <row r="15" spans="1:9" ht="14" customHeight="1" x14ac:dyDescent="0.45">
      <c r="A15" s="50" t="s">
        <v>22</v>
      </c>
      <c r="B15" s="86" t="s">
        <v>92</v>
      </c>
      <c r="C15" s="58">
        <v>-35.904255319148945</v>
      </c>
      <c r="D15" s="58">
        <v>16.606498194945839</v>
      </c>
      <c r="E15" s="58">
        <v>32.729103726082556</v>
      </c>
      <c r="F15" s="58">
        <v>-24.899866488651547</v>
      </c>
      <c r="G15" s="58">
        <v>17.098039215686267</v>
      </c>
      <c r="H15" s="58">
        <v>1.7218543046357615</v>
      </c>
      <c r="I15" s="85" t="s">
        <v>92</v>
      </c>
    </row>
    <row r="16" spans="1:9" ht="14" customHeight="1" x14ac:dyDescent="0.45">
      <c r="A16" s="59" t="s">
        <v>23</v>
      </c>
      <c r="B16" s="60">
        <v>-16.760347470618285</v>
      </c>
      <c r="C16" s="60">
        <v>-37.254054054054052</v>
      </c>
      <c r="D16" s="60">
        <v>-25.969090448441868</v>
      </c>
      <c r="E16" s="60">
        <v>-22.588235294117652</v>
      </c>
      <c r="F16" s="60">
        <v>-25.724217844727693</v>
      </c>
      <c r="G16" s="60">
        <v>-13.41014954645745</v>
      </c>
      <c r="H16" s="60">
        <v>-45.48248309772589</v>
      </c>
      <c r="I16" s="60">
        <v>-42.165450121654516</v>
      </c>
    </row>
    <row r="17" spans="1:9" ht="14" customHeight="1" x14ac:dyDescent="0.45">
      <c r="A17" s="50" t="s">
        <v>24</v>
      </c>
      <c r="B17" s="58">
        <v>-48.730034040324675</v>
      </c>
      <c r="C17" s="58">
        <v>-55.144450076026338</v>
      </c>
      <c r="D17" s="58">
        <v>-48.566243194192381</v>
      </c>
      <c r="E17" s="58">
        <v>-49.083215796897051</v>
      </c>
      <c r="F17" s="58">
        <v>-50.02235136343316</v>
      </c>
      <c r="G17" s="58">
        <v>-15.512048192771088</v>
      </c>
      <c r="H17" s="58">
        <v>-51.445396145610303</v>
      </c>
      <c r="I17" s="58">
        <v>-43.665158371040704</v>
      </c>
    </row>
    <row r="18" spans="1:9" ht="14" customHeight="1" x14ac:dyDescent="0.45">
      <c r="A18" s="59" t="s">
        <v>25</v>
      </c>
      <c r="B18" s="60">
        <v>-1.9455252918288091</v>
      </c>
      <c r="C18" s="60">
        <v>16.988014590932753</v>
      </c>
      <c r="D18" s="60">
        <v>-30.534918276374434</v>
      </c>
      <c r="E18" s="60">
        <v>3.9009752438110112</v>
      </c>
      <c r="F18" s="60">
        <v>-15.155807365439067</v>
      </c>
      <c r="G18" s="60">
        <v>-3.4251675353685784</v>
      </c>
      <c r="H18" s="60">
        <v>-5.3995680345572232</v>
      </c>
      <c r="I18" s="60">
        <v>20.067796610169488</v>
      </c>
    </row>
    <row r="19" spans="1:9" ht="14" customHeight="1" x14ac:dyDescent="0.45">
      <c r="A19" s="50" t="s">
        <v>26</v>
      </c>
      <c r="B19" s="58">
        <v>-20.904599011782608</v>
      </c>
      <c r="C19" s="58">
        <v>-26.144482667372337</v>
      </c>
      <c r="D19" s="58">
        <v>-40.11723329425557</v>
      </c>
      <c r="E19" s="58">
        <v>-38.329048843187699</v>
      </c>
      <c r="F19" s="58">
        <v>-32.396694214876042</v>
      </c>
      <c r="G19" s="58">
        <v>-35.306490384615408</v>
      </c>
      <c r="H19" s="58">
        <v>-56.151742993848245</v>
      </c>
      <c r="I19" s="58">
        <v>-29.388888888888886</v>
      </c>
    </row>
    <row r="20" spans="1:9" ht="14" customHeight="1" x14ac:dyDescent="0.45">
      <c r="A20" s="59" t="s">
        <v>27</v>
      </c>
      <c r="B20" s="60">
        <v>-58.215818516247687</v>
      </c>
      <c r="C20" s="60">
        <v>-76.082474226804123</v>
      </c>
      <c r="D20" s="60">
        <v>-41.949303820064266</v>
      </c>
      <c r="E20" s="60">
        <v>-58.263772954924889</v>
      </c>
      <c r="F20" s="60">
        <v>-64.864000000000019</v>
      </c>
      <c r="G20" s="60">
        <v>-61.208333333333329</v>
      </c>
      <c r="H20" s="60">
        <v>-72.338403041825103</v>
      </c>
      <c r="I20" s="88">
        <v>-54.823304680038213</v>
      </c>
    </row>
    <row r="21" spans="1:9" ht="14" customHeight="1" x14ac:dyDescent="0.45">
      <c r="A21" s="50" t="s">
        <v>28</v>
      </c>
      <c r="B21" s="58">
        <v>20.775490665390173</v>
      </c>
      <c r="C21" s="58">
        <v>33.80710659898476</v>
      </c>
      <c r="D21" s="58">
        <v>29.778247096092912</v>
      </c>
      <c r="E21" s="86" t="s">
        <v>92</v>
      </c>
      <c r="F21" s="58">
        <v>38.9356984478936</v>
      </c>
      <c r="G21" s="62">
        <v>17.533989685888418</v>
      </c>
      <c r="H21" s="58">
        <v>7.2436500470366649</v>
      </c>
      <c r="I21" s="58">
        <v>37.886479003230299</v>
      </c>
    </row>
    <row r="22" spans="1:9" ht="14" customHeight="1" x14ac:dyDescent="0.45">
      <c r="A22" s="63" t="s">
        <v>29</v>
      </c>
      <c r="B22" s="134" t="s">
        <v>92</v>
      </c>
      <c r="C22" s="64">
        <v>-14.70192738682201</v>
      </c>
      <c r="D22" s="64">
        <v>32.075471698113219</v>
      </c>
      <c r="E22" s="64">
        <v>6.29737609329446</v>
      </c>
      <c r="F22" s="64">
        <v>-5.4501216545011832</v>
      </c>
      <c r="G22" s="64">
        <v>-21.444362564480489</v>
      </c>
      <c r="H22" s="64">
        <v>-70.014044943820238</v>
      </c>
      <c r="I22" s="89">
        <v>-9.7816196542311431</v>
      </c>
    </row>
    <row r="23" spans="1:9" ht="14" customHeight="1" x14ac:dyDescent="0.45">
      <c r="A23" s="57" t="s">
        <v>30</v>
      </c>
      <c r="B23" s="146"/>
      <c r="C23" s="146"/>
      <c r="D23" s="146"/>
      <c r="E23" s="146"/>
      <c r="F23" s="146"/>
      <c r="G23" s="146"/>
      <c r="H23" s="146"/>
      <c r="I23" s="146"/>
    </row>
    <row r="24" spans="1:9" ht="14" customHeight="1" x14ac:dyDescent="0.45">
      <c r="A24" s="50" t="s">
        <v>49</v>
      </c>
      <c r="B24" s="137" t="s">
        <v>92</v>
      </c>
      <c r="C24" s="58">
        <v>-8.2155614225811533</v>
      </c>
      <c r="D24" s="137" t="s">
        <v>92</v>
      </c>
      <c r="E24" s="86" t="s">
        <v>92</v>
      </c>
      <c r="F24" s="62">
        <v>-11.430169681148595</v>
      </c>
      <c r="G24" s="85" t="s">
        <v>92</v>
      </c>
      <c r="H24" s="58">
        <v>-13.503408840994069</v>
      </c>
      <c r="I24" s="62">
        <v>-5.7593769215002695</v>
      </c>
    </row>
    <row r="25" spans="1:9" ht="14" customHeight="1" x14ac:dyDescent="0.45">
      <c r="A25" s="59" t="s">
        <v>31</v>
      </c>
      <c r="B25" s="60">
        <v>6.1728395061728225</v>
      </c>
      <c r="C25" s="60">
        <v>3.4872761545711173</v>
      </c>
      <c r="D25" s="60">
        <v>-5.4485415520087894</v>
      </c>
      <c r="E25" s="84" t="s">
        <v>92</v>
      </c>
      <c r="F25" s="60">
        <v>6.4432989690722087</v>
      </c>
      <c r="G25" s="60">
        <v>-8.673250322026627</v>
      </c>
      <c r="H25" s="60">
        <v>11.161290322580641</v>
      </c>
      <c r="I25" s="60">
        <v>12.406576980568019</v>
      </c>
    </row>
    <row r="26" spans="1:9" ht="14" customHeight="1" x14ac:dyDescent="0.45">
      <c r="A26" s="50" t="s">
        <v>32</v>
      </c>
      <c r="B26" s="62">
        <v>11.799410029498535</v>
      </c>
      <c r="C26" s="58">
        <v>49.222395023328104</v>
      </c>
      <c r="D26" s="86" t="s">
        <v>92</v>
      </c>
      <c r="E26" s="58">
        <v>18.621373667245233</v>
      </c>
      <c r="F26" s="58">
        <v>47.668195718654417</v>
      </c>
      <c r="G26" s="86" t="s">
        <v>92</v>
      </c>
      <c r="H26" s="58">
        <v>51.411620294599025</v>
      </c>
      <c r="I26" s="62">
        <v>42.322964923891469</v>
      </c>
    </row>
    <row r="27" spans="1:9" ht="14" customHeight="1" x14ac:dyDescent="0.45">
      <c r="A27" s="59" t="s">
        <v>33</v>
      </c>
      <c r="B27" s="84" t="s">
        <v>92</v>
      </c>
      <c r="C27" s="60">
        <v>4.4025157232704171</v>
      </c>
      <c r="D27" s="60">
        <v>6.202026404666916</v>
      </c>
      <c r="E27" s="87" t="s">
        <v>92</v>
      </c>
      <c r="F27" s="65">
        <v>-12.62805770436961</v>
      </c>
      <c r="G27" s="135" t="s">
        <v>92</v>
      </c>
      <c r="H27" s="60">
        <v>-13.750980611901809</v>
      </c>
      <c r="I27" s="60">
        <v>-8.3606144547972665</v>
      </c>
    </row>
    <row r="28" spans="1:9" ht="14" customHeight="1" x14ac:dyDescent="0.45">
      <c r="A28" s="50" t="s">
        <v>34</v>
      </c>
      <c r="B28" s="58">
        <v>24.600000000000044</v>
      </c>
      <c r="C28" s="58">
        <v>6.5919282511210486</v>
      </c>
      <c r="D28" s="58">
        <v>23.257110987172336</v>
      </c>
      <c r="E28" s="58">
        <v>4.4410413476263289</v>
      </c>
      <c r="F28" s="62">
        <v>8.6330935251798468</v>
      </c>
      <c r="G28" s="58">
        <v>12.775330396475781</v>
      </c>
      <c r="H28" s="58">
        <v>34.379526798647994</v>
      </c>
      <c r="I28" s="58">
        <v>14.015151515151491</v>
      </c>
    </row>
    <row r="29" spans="1:9" ht="14" customHeight="1" x14ac:dyDescent="0.45">
      <c r="A29" s="59" t="s">
        <v>52</v>
      </c>
      <c r="B29" s="65">
        <v>32.082817200495505</v>
      </c>
      <c r="C29" s="135" t="s">
        <v>92</v>
      </c>
      <c r="D29" s="60">
        <v>17.087667161961416</v>
      </c>
      <c r="E29" s="60">
        <v>37.25071225071224</v>
      </c>
      <c r="F29" s="87" t="s">
        <v>92</v>
      </c>
      <c r="G29" s="65">
        <v>0.10623229461759198</v>
      </c>
      <c r="H29" s="60">
        <v>2.2949426264343487</v>
      </c>
      <c r="I29" s="60">
        <v>-1.3017356475300446</v>
      </c>
    </row>
    <row r="30" spans="1:9" ht="14" customHeight="1" x14ac:dyDescent="0.45">
      <c r="A30" s="50" t="s">
        <v>35</v>
      </c>
      <c r="B30" s="58">
        <v>-1.9491525423729339</v>
      </c>
      <c r="C30" s="58">
        <v>-5.0214592274678509</v>
      </c>
      <c r="D30" s="58">
        <v>-3.3284488172493409</v>
      </c>
      <c r="E30" s="58">
        <v>-5.9358380511237101</v>
      </c>
      <c r="F30" s="58">
        <v>-8.5136741973840575</v>
      </c>
      <c r="G30" s="58">
        <v>-13.999368686868685</v>
      </c>
      <c r="H30" s="58">
        <v>-3.7304996608636842</v>
      </c>
      <c r="I30" s="58">
        <v>1.3188883655204542</v>
      </c>
    </row>
    <row r="31" spans="1:9" ht="14" customHeight="1" x14ac:dyDescent="0.45">
      <c r="A31" s="59" t="s">
        <v>36</v>
      </c>
      <c r="B31" s="60">
        <v>3.0413625304136715</v>
      </c>
      <c r="C31" s="60">
        <v>20.665083135391882</v>
      </c>
      <c r="D31" s="60">
        <v>-5.0263991552270131</v>
      </c>
      <c r="E31" s="135" t="s">
        <v>92</v>
      </c>
      <c r="F31" s="65">
        <v>17.462987886944802</v>
      </c>
      <c r="G31" s="60">
        <v>-2.3403856955626301</v>
      </c>
      <c r="H31" s="60">
        <v>41.788661165823825</v>
      </c>
      <c r="I31" s="60">
        <v>98.242606086583862</v>
      </c>
    </row>
    <row r="32" spans="1:9" ht="14" customHeight="1" x14ac:dyDescent="0.45">
      <c r="A32" s="50" t="s">
        <v>37</v>
      </c>
      <c r="B32" s="66">
        <v>-3.4996956786366495</v>
      </c>
      <c r="C32" s="66">
        <v>10.894076544386211</v>
      </c>
      <c r="D32" s="58">
        <v>34.527550806620596</v>
      </c>
      <c r="E32" s="85" t="s">
        <v>92</v>
      </c>
      <c r="F32" s="58">
        <v>5.5401662049861633</v>
      </c>
      <c r="G32" s="58">
        <v>22.259852216748776</v>
      </c>
      <c r="H32" s="58">
        <v>18.263875552141329</v>
      </c>
      <c r="I32" s="58">
        <v>15.147004093784911</v>
      </c>
    </row>
    <row r="33" spans="1:9" ht="14" customHeight="1" x14ac:dyDescent="0.45">
      <c r="A33" s="59" t="s">
        <v>53</v>
      </c>
      <c r="B33" s="135" t="s">
        <v>92</v>
      </c>
      <c r="C33" s="60">
        <v>36.075548231715018</v>
      </c>
      <c r="D33" s="60">
        <v>38.917659243915061</v>
      </c>
      <c r="E33" s="60">
        <v>22.064912515026091</v>
      </c>
      <c r="F33" s="60">
        <v>56.366559485530509</v>
      </c>
      <c r="G33" s="60">
        <v>27.432380464043106</v>
      </c>
      <c r="H33" s="60">
        <v>39.709505900661355</v>
      </c>
      <c r="I33" s="60">
        <v>25.208607817303452</v>
      </c>
    </row>
    <row r="34" spans="1:9" ht="14" customHeight="1" x14ac:dyDescent="0.45">
      <c r="A34" s="50" t="s">
        <v>38</v>
      </c>
      <c r="B34" s="86" t="s">
        <v>92</v>
      </c>
      <c r="C34" s="58">
        <v>20.242564250649743</v>
      </c>
      <c r="D34" s="58">
        <v>19.02470324029515</v>
      </c>
      <c r="E34" s="86" t="s">
        <v>92</v>
      </c>
      <c r="F34" s="58">
        <v>40.137542982181948</v>
      </c>
      <c r="G34" s="58">
        <v>49.180327868852515</v>
      </c>
      <c r="H34" s="58">
        <v>26.591910292350818</v>
      </c>
      <c r="I34" s="58">
        <v>46.276923076923083</v>
      </c>
    </row>
    <row r="35" spans="1:9" ht="14" customHeight="1" x14ac:dyDescent="0.45">
      <c r="A35" s="59" t="s">
        <v>39</v>
      </c>
      <c r="B35" s="60">
        <v>-6.6320859577621016</v>
      </c>
      <c r="C35" s="60">
        <v>-17.148182665424049</v>
      </c>
      <c r="D35" s="60">
        <v>-16.092227240313761</v>
      </c>
      <c r="E35" s="60">
        <v>-12.897272913676472</v>
      </c>
      <c r="F35" s="60">
        <v>-18.575511101340947</v>
      </c>
      <c r="G35" s="60">
        <v>-23.725490196078425</v>
      </c>
      <c r="H35" s="60">
        <v>-27.643236857649146</v>
      </c>
      <c r="I35" s="60">
        <v>-9.6742591231936732</v>
      </c>
    </row>
    <row r="36" spans="1:9" ht="14" customHeight="1" x14ac:dyDescent="0.45">
      <c r="A36" s="50" t="s">
        <v>40</v>
      </c>
      <c r="B36" s="137" t="s">
        <v>92</v>
      </c>
      <c r="C36" s="58">
        <v>29.494241362043127</v>
      </c>
      <c r="D36" s="58">
        <v>15.397082658022732</v>
      </c>
      <c r="E36" s="86" t="s">
        <v>92</v>
      </c>
      <c r="F36" s="85" t="s">
        <v>92</v>
      </c>
      <c r="G36" s="86" t="s">
        <v>92</v>
      </c>
      <c r="H36" s="58">
        <v>50.657894736842103</v>
      </c>
      <c r="I36" s="58">
        <v>9.086161879895549</v>
      </c>
    </row>
    <row r="37" spans="1:9" ht="14" customHeight="1" x14ac:dyDescent="0.45">
      <c r="A37" s="59" t="s">
        <v>54</v>
      </c>
      <c r="B37" s="84" t="s">
        <v>92</v>
      </c>
      <c r="C37" s="87" t="s">
        <v>92</v>
      </c>
      <c r="D37" s="60">
        <v>55.387114239307003</v>
      </c>
      <c r="E37" s="87" t="s">
        <v>92</v>
      </c>
      <c r="F37" s="60">
        <v>-1.5548281505728623</v>
      </c>
      <c r="G37" s="60">
        <v>45.943396226415103</v>
      </c>
      <c r="H37" s="60">
        <v>7.089041095890436</v>
      </c>
      <c r="I37" s="60">
        <v>6.7270375161707419</v>
      </c>
    </row>
    <row r="38" spans="1:9" ht="14" customHeight="1" x14ac:dyDescent="0.45">
      <c r="A38" s="50" t="s">
        <v>41</v>
      </c>
      <c r="B38" s="58">
        <v>44.727891156462583</v>
      </c>
      <c r="C38" s="58">
        <v>57.410562180579227</v>
      </c>
      <c r="D38" s="58">
        <v>79.303278688524557</v>
      </c>
      <c r="E38" s="86" t="s">
        <v>92</v>
      </c>
      <c r="F38" s="86" t="s">
        <v>92</v>
      </c>
      <c r="G38" s="58">
        <v>70.915032679738559</v>
      </c>
      <c r="H38" s="86" t="s">
        <v>92</v>
      </c>
      <c r="I38" s="86" t="s">
        <v>92</v>
      </c>
    </row>
    <row r="39" spans="1:9" ht="14" customHeight="1" x14ac:dyDescent="0.45">
      <c r="A39" s="63" t="s">
        <v>42</v>
      </c>
      <c r="B39" s="64">
        <v>45.457403332285494</v>
      </c>
      <c r="C39" s="64">
        <v>43.444909344490945</v>
      </c>
      <c r="D39" s="64">
        <v>41.328648993931651</v>
      </c>
      <c r="E39" s="64">
        <v>41.597877358490543</v>
      </c>
      <c r="F39" s="64">
        <v>46.466370775008635</v>
      </c>
      <c r="G39" s="67">
        <v>31.595713871995358</v>
      </c>
      <c r="H39" s="64">
        <v>40.551868669228085</v>
      </c>
      <c r="I39" s="64">
        <v>46.754143646408799</v>
      </c>
    </row>
    <row r="40" spans="1:9" ht="14" customHeight="1" x14ac:dyDescent="0.45">
      <c r="A40" s="57" t="s">
        <v>43</v>
      </c>
      <c r="B40" s="146"/>
      <c r="C40" s="146"/>
      <c r="D40" s="146"/>
      <c r="E40" s="146"/>
      <c r="F40" s="146"/>
      <c r="G40" s="146"/>
      <c r="H40" s="146"/>
      <c r="I40" s="146"/>
    </row>
    <row r="41" spans="1:9" ht="14" customHeight="1" x14ac:dyDescent="0.45">
      <c r="A41" s="50" t="s">
        <v>44</v>
      </c>
      <c r="B41" s="85" t="s">
        <v>92</v>
      </c>
      <c r="C41" s="58">
        <v>2.2174535050071498</v>
      </c>
      <c r="D41" s="58">
        <v>102.065404475043</v>
      </c>
      <c r="E41" s="85" t="s">
        <v>92</v>
      </c>
      <c r="F41" s="58">
        <v>-4.4395465994962251</v>
      </c>
      <c r="G41" s="58">
        <v>132.95074127211853</v>
      </c>
      <c r="H41" s="58">
        <v>72.62461059190035</v>
      </c>
      <c r="I41" s="62">
        <v>30.113636363636399</v>
      </c>
    </row>
    <row r="42" spans="1:9" ht="14" customHeight="1" x14ac:dyDescent="0.45">
      <c r="A42" s="59" t="s">
        <v>45</v>
      </c>
      <c r="B42" s="60">
        <v>26.512013256006604</v>
      </c>
      <c r="C42" s="60">
        <v>3.0976965845909588</v>
      </c>
      <c r="D42" s="60">
        <v>0.82508250825079621</v>
      </c>
      <c r="E42" s="60">
        <v>-4.8192771084337283</v>
      </c>
      <c r="F42" s="60">
        <v>1.0506208213944657</v>
      </c>
      <c r="G42" s="87" t="s">
        <v>92</v>
      </c>
      <c r="H42" s="60">
        <v>-8.3225806451613042</v>
      </c>
      <c r="I42" s="60">
        <v>-5.5977229601517848</v>
      </c>
    </row>
    <row r="43" spans="1:9" ht="14" customHeight="1" x14ac:dyDescent="0.45">
      <c r="A43" s="50" t="s">
        <v>55</v>
      </c>
      <c r="B43" s="86" t="s">
        <v>92</v>
      </c>
      <c r="C43" s="58">
        <v>34.939759036144544</v>
      </c>
      <c r="D43" s="58">
        <v>63.033448673587088</v>
      </c>
      <c r="E43" s="58">
        <v>37.06171107994389</v>
      </c>
      <c r="F43" s="58">
        <v>71.782762691853534</v>
      </c>
      <c r="G43" s="58">
        <v>50.080000000000034</v>
      </c>
      <c r="H43" s="58">
        <v>43.356047700170365</v>
      </c>
      <c r="I43" s="58">
        <v>22.502960915909973</v>
      </c>
    </row>
    <row r="44" spans="1:9" ht="14" customHeight="1" x14ac:dyDescent="0.45">
      <c r="A44" s="59" t="s">
        <v>46</v>
      </c>
      <c r="B44" s="60">
        <v>43.94491697043339</v>
      </c>
      <c r="C44" s="60">
        <v>13.030957523398158</v>
      </c>
      <c r="D44" s="60">
        <v>18.258633357825094</v>
      </c>
      <c r="E44" s="60">
        <v>70.841889117043124</v>
      </c>
      <c r="F44" s="60">
        <v>27.931555108203334</v>
      </c>
      <c r="G44" s="60">
        <v>-0.23049061573919838</v>
      </c>
      <c r="H44" s="60">
        <v>33.48017621145376</v>
      </c>
      <c r="I44" s="60">
        <v>28.468653648509836</v>
      </c>
    </row>
    <row r="45" spans="1:9" ht="14" customHeight="1" x14ac:dyDescent="0.45">
      <c r="A45" s="68" t="s">
        <v>47</v>
      </c>
      <c r="B45" s="69">
        <v>-23.737373737373758</v>
      </c>
      <c r="C45" s="69">
        <v>-38.498402555910538</v>
      </c>
      <c r="D45" s="69">
        <v>-18.386755899964758</v>
      </c>
      <c r="E45" s="69">
        <v>-24.579831932773121</v>
      </c>
      <c r="F45" s="69">
        <v>-44.44444444444445</v>
      </c>
      <c r="G45" s="69">
        <v>-26.422518159806284</v>
      </c>
      <c r="H45" s="69">
        <v>-38.704479535932968</v>
      </c>
      <c r="I45" s="69">
        <v>-50.929133858267726</v>
      </c>
    </row>
    <row r="46" spans="1:9" x14ac:dyDescent="0.45">
      <c r="A46" s="70"/>
      <c r="B46" s="80"/>
      <c r="C46" s="80"/>
      <c r="D46" s="80"/>
      <c r="E46" s="80"/>
      <c r="F46" s="80"/>
      <c r="G46" s="80"/>
      <c r="H46" s="80"/>
      <c r="I46" s="80"/>
    </row>
    <row r="47" spans="1:9" x14ac:dyDescent="0.45">
      <c r="A47" s="70" t="s">
        <v>12</v>
      </c>
      <c r="B47" s="71"/>
      <c r="C47" s="72"/>
      <c r="D47" s="72"/>
      <c r="E47" s="71"/>
      <c r="F47" s="72"/>
      <c r="G47" s="72"/>
      <c r="H47" s="72"/>
      <c r="I47" s="72"/>
    </row>
    <row r="48" spans="1:9" x14ac:dyDescent="0.45">
      <c r="A48" s="73" t="s">
        <v>56</v>
      </c>
      <c r="B48" s="73"/>
      <c r="C48" s="73"/>
      <c r="D48" s="73"/>
      <c r="E48" s="73"/>
      <c r="F48" s="73"/>
      <c r="G48" s="73"/>
      <c r="H48" s="73"/>
      <c r="I48" s="73"/>
    </row>
    <row r="49" spans="1:9" x14ac:dyDescent="0.45">
      <c r="A49" s="74" t="s">
        <v>14</v>
      </c>
      <c r="B49" s="71"/>
      <c r="C49" s="72"/>
      <c r="D49" s="72"/>
      <c r="E49" s="71"/>
      <c r="F49" s="72"/>
      <c r="G49" s="72"/>
      <c r="H49" s="72"/>
      <c r="I49" s="72"/>
    </row>
    <row r="50" spans="1:9" x14ac:dyDescent="0.45">
      <c r="A50" s="75" t="s">
        <v>15</v>
      </c>
      <c r="B50" s="76"/>
      <c r="C50" s="76"/>
      <c r="D50" s="76"/>
      <c r="E50" s="76"/>
      <c r="F50" s="76"/>
      <c r="G50" s="76"/>
      <c r="H50" s="76"/>
      <c r="I50" s="76"/>
    </row>
    <row r="51" spans="1:9" x14ac:dyDescent="0.45">
      <c r="A51" s="75"/>
      <c r="B51" s="6"/>
      <c r="C51" s="7"/>
      <c r="D51" s="6"/>
      <c r="E51" s="7"/>
      <c r="F51" s="6"/>
      <c r="G51" s="7"/>
      <c r="H51" s="6"/>
      <c r="I51" s="7"/>
    </row>
    <row r="52" spans="1:9" x14ac:dyDescent="0.45">
      <c r="A52" s="77" t="str">
        <f>+Índice!A14</f>
        <v>Fecha de actualización: 9 de agosto de 2023</v>
      </c>
      <c r="B52" s="6"/>
      <c r="C52" s="7"/>
      <c r="D52" s="6"/>
      <c r="E52" s="7"/>
      <c r="F52" s="6"/>
      <c r="G52" s="7"/>
      <c r="H52" s="6"/>
      <c r="I52" s="7"/>
    </row>
    <row r="53" spans="1:9" x14ac:dyDescent="0.45">
      <c r="A53" s="75"/>
      <c r="B53" s="6"/>
      <c r="C53" s="7"/>
      <c r="D53" s="6"/>
      <c r="E53" s="7"/>
      <c r="F53" s="6"/>
      <c r="G53" s="7"/>
      <c r="H53" s="6"/>
      <c r="I53" s="7"/>
    </row>
    <row r="54" spans="1:9" x14ac:dyDescent="0.45">
      <c r="A54" s="75"/>
      <c r="B54" s="6"/>
      <c r="C54" s="7"/>
      <c r="D54" s="6"/>
      <c r="E54" s="7"/>
      <c r="F54" s="6"/>
      <c r="G54" s="7"/>
      <c r="H54" s="6"/>
      <c r="I54" s="7"/>
    </row>
    <row r="55" spans="1:9" x14ac:dyDescent="0.45">
      <c r="A55" s="75"/>
      <c r="B55" s="6"/>
      <c r="C55" s="7"/>
      <c r="D55" s="6"/>
      <c r="E55" s="7"/>
      <c r="F55" s="6"/>
      <c r="G55" s="7"/>
      <c r="H55" s="6"/>
      <c r="I55" s="7"/>
    </row>
  </sheetData>
  <mergeCells count="1">
    <mergeCell ref="A4:I5"/>
  </mergeCells>
  <pageMargins left="0.75" right="0.75" top="1" bottom="1" header="0.5" footer="0.5"/>
  <pageSetup orientation="portrait" horizontalDpi="4294967292" verticalDpi="4294967292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Índice</vt:lpstr>
      <vt:lpstr>Anexo 1</vt:lpstr>
      <vt:lpstr>Anexo 2</vt:lpstr>
      <vt:lpstr>Anexo 3</vt:lpstr>
    </vt:vector>
  </TitlesOfParts>
  <Company>DANE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LMChaparroC</dc:creator>
  <cp:lastModifiedBy>Elsa Beatriz Hernandez Gomez</cp:lastModifiedBy>
  <cp:lastPrinted>2018-10-02T21:35:14Z</cp:lastPrinted>
  <dcterms:created xsi:type="dcterms:W3CDTF">2007-01-25T17:17:56Z</dcterms:created>
  <dcterms:modified xsi:type="dcterms:W3CDTF">2023-08-03T14:05:18Z</dcterms:modified>
</cp:coreProperties>
</file>