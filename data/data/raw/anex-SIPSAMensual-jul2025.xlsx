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Julio 25/"/>
    </mc:Choice>
  </mc:AlternateContent>
  <xr:revisionPtr revIDLastSave="8" documentId="13_ncr:1_{76AFD8E7-9450-42E0-A03D-D8448F0892EB}" xr6:coauthVersionLast="47" xr6:coauthVersionMax="47" xr10:uidLastSave="{378842C7-C72C-4CA0-9BFF-9F9481F86C40}"/>
  <bookViews>
    <workbookView xWindow="-110" yWindow="-110" windowWidth="19420" windowHeight="10300" tabRatio="815" xr2:uid="{00000000-000D-0000-FFFF-FFFF00000000}"/>
  </bookViews>
  <sheets>
    <sheet name="Índice" sheetId="519" r:id="rId1"/>
    <sheet name="1" sheetId="520" r:id="rId2"/>
    <sheet name="2" sheetId="521" r:id="rId3"/>
    <sheet name="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B12" i="519" s="1"/>
  <c r="A7" i="521"/>
  <c r="B11" i="519" s="1"/>
  <c r="A7" i="520"/>
  <c r="B10" i="519" s="1"/>
  <c r="A83" i="520"/>
  <c r="A54" i="521"/>
  <c r="A54" i="522"/>
</calcChain>
</file>

<file path=xl/sharedStrings.xml><?xml version="1.0" encoding="utf-8"?>
<sst xmlns="http://schemas.openxmlformats.org/spreadsheetml/2006/main" count="342" uniqueCount="97">
  <si>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</si>
  <si>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</si>
  <si>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</si>
  <si>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</si>
  <si>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</si>
  <si>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</si>
  <si>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</si>
  <si>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</si>
  <si>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</si>
  <si>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</si>
  <si>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</si>
  <si>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</si>
  <si>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</si>
  <si>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</si>
  <si>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</si>
  <si>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</si>
  <si>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</si>
  <si>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</si>
  <si>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</si>
  <si>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</si>
  <si>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</si>
  <si>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</si>
  <si>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</si>
  <si>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</si>
  <si>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</si>
  <si>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</si>
  <si>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</si>
  <si>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</si>
  <si>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</si>
  <si>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</si>
  <si>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</si>
  <si>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</si>
  <si>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</si>
  <si>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</si>
  <si>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</si>
  <si>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</si>
  <si>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</si>
  <si>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</si>
  <si>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</si>
  <si>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</si>
  <si>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</si>
  <si>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</si>
  <si>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</si>
  <si>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</si>
  <si>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</si>
  <si>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</si>
  <si>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</si>
  <si>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</si>
  <si>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</si>
  <si>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</si>
  <si>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</si>
  <si>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</si>
  <si>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</si>
  <si>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</si>
  <si>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</si>
  <si>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</si>
  <si>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</si>
  <si>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</si>
  <si>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Fríjol verde*</t>
  </si>
  <si>
    <t>1.</t>
  </si>
  <si>
    <t>2.</t>
  </si>
  <si>
    <t>3.</t>
  </si>
  <si>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DANE, SIPSA</t>
    </r>
  </si>
  <si>
    <t>Regresar al índice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</si>
  <si>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</si>
  <si>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</si>
  <si>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</si>
  <si>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</si>
  <si>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</si>
  <si>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</si>
  <si>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</si>
  <si>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</si>
  <si>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</si>
  <si>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</si>
  <si>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</si>
  <si>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Pechuga de pollo</t>
  </si>
  <si>
    <t>Aceite vegetal mezcla**</t>
  </si>
  <si>
    <t>Azúcar sulfitada</t>
  </si>
  <si>
    <t>Café molido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</si>
  <si>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</si>
  <si>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</si>
  <si>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</si>
  <si>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</si>
  <si>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</si>
  <si>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</si>
  <si>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</si>
  <si>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</si>
  <si>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 yodada</t>
  </si>
  <si>
    <t>Salsa de tomate doy pack</t>
  </si>
  <si>
    <t>Sardinas en lata</t>
  </si>
  <si>
    <t>Julio de 2025</t>
  </si>
  <si>
    <t>n.d.</t>
  </si>
  <si>
    <t>-</t>
  </si>
  <si>
    <t>Repollo blanco</t>
  </si>
  <si>
    <t>Carne de cerdo, pernil sin hueso</t>
  </si>
  <si>
    <t>Carne de res, punta de anca</t>
  </si>
  <si>
    <t>Fecha de actualización: 11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</si>
</sst>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Segoe UI"/>
      <family val="2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4" fontId="24" fillId="33" borderId="0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0" fillId="31" borderId="0" xfId="36" applyFont="1" applyFill="1"/>
    <xf numFmtId="0" fontId="24" fillId="0" borderId="0" xfId="0" applyFont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4" fontId="31" fillId="0" borderId="0" xfId="33" applyNumberFormat="1" applyFont="1" applyFill="1" applyBorder="1" applyAlignment="1">
      <alignment horizontal="center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0" fontId="28" fillId="31" borderId="2" xfId="0" applyFont="1" applyFill="1" applyBorder="1" applyAlignment="1">
      <alignment vertical="center"/>
    </xf>
    <xf numFmtId="0" fontId="28" fillId="31" borderId="15" xfId="0" applyFont="1" applyFill="1" applyBorder="1" applyAlignment="1">
      <alignment vertical="center"/>
    </xf>
    <xf numFmtId="0" fontId="28" fillId="31" borderId="3" xfId="0" applyFont="1" applyFill="1" applyBorder="1" applyAlignment="1">
      <alignment vertical="center"/>
    </xf>
    <xf numFmtId="0" fontId="28" fillId="31" borderId="11" xfId="0" applyFont="1" applyFill="1" applyBorder="1" applyAlignment="1">
      <alignment vertical="center"/>
    </xf>
    <xf numFmtId="0" fontId="32" fillId="31" borderId="10" xfId="0" applyFont="1" applyFill="1" applyBorder="1" applyAlignment="1">
      <alignment horizontal="right" vertical="center"/>
    </xf>
    <xf numFmtId="0" fontId="32" fillId="31" borderId="14" xfId="0" applyFont="1" applyFill="1" applyBorder="1" applyAlignment="1">
      <alignment horizontal="right" vertical="center"/>
    </xf>
    <xf numFmtId="0" fontId="32" fillId="31" borderId="9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vertical="center"/>
    </xf>
    <xf numFmtId="0" fontId="28" fillId="31" borderId="16" xfId="0" applyFont="1" applyFill="1" applyBorder="1" applyAlignment="1">
      <alignment vertical="center"/>
    </xf>
    <xf numFmtId="0" fontId="33" fillId="31" borderId="12" xfId="43" applyFont="1" applyFill="1" applyBorder="1" applyAlignment="1">
      <alignment horizontal="left" vertical="center"/>
    </xf>
    <xf numFmtId="0" fontId="2" fillId="31" borderId="3" xfId="31" quotePrefix="1" applyFill="1" applyBorder="1" applyAlignment="1" applyProtection="1">
      <alignment vertical="center"/>
    </xf>
    <xf numFmtId="0" fontId="2" fillId="31" borderId="1" xfId="31" quotePrefix="1" applyFill="1" applyBorder="1" applyAlignment="1" applyProtection="1">
      <alignment vertical="center"/>
    </xf>
    <xf numFmtId="0" fontId="2" fillId="31" borderId="2" xfId="31" quotePrefix="1" applyFill="1" applyBorder="1" applyAlignment="1" applyProtection="1">
      <alignment vertical="center"/>
    </xf>
    <xf numFmtId="0" fontId="35" fillId="0" borderId="0" xfId="31" applyFont="1" applyAlignment="1" applyProtection="1"/>
    <xf numFmtId="4" fontId="31" fillId="0" borderId="0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/>
    <xf numFmtId="4" fontId="31" fillId="33" borderId="0" xfId="33" applyNumberFormat="1" applyFont="1" applyFill="1" applyBorder="1" applyAlignment="1"/>
    <xf numFmtId="4" fontId="31" fillId="33" borderId="0" xfId="33" applyNumberFormat="1" applyFont="1" applyFill="1" applyBorder="1" applyAlignment="1">
      <alignment vertical="center"/>
    </xf>
    <xf numFmtId="4" fontId="31" fillId="33" borderId="0" xfId="33" applyNumberFormat="1" applyFont="1" applyFill="1" applyBorder="1" applyAlignment="1">
      <alignment vertical="justify"/>
    </xf>
    <xf numFmtId="4" fontId="31" fillId="33" borderId="0" xfId="33" applyNumberFormat="1" applyFont="1" applyFill="1" applyBorder="1" applyAlignment="1" applyProtection="1">
      <alignment vertical="center"/>
    </xf>
    <xf numFmtId="4" fontId="31" fillId="0" borderId="0" xfId="33" applyNumberFormat="1" applyFont="1" applyFill="1" applyBorder="1" applyAlignment="1" applyProtection="1">
      <alignment vertical="justify"/>
    </xf>
    <xf numFmtId="4" fontId="31" fillId="0" borderId="2" xfId="33" applyNumberFormat="1" applyFont="1" applyFill="1" applyBorder="1" applyAlignment="1">
      <alignment vertical="center"/>
    </xf>
    <xf numFmtId="4" fontId="31" fillId="0" borderId="2" xfId="33" applyNumberFormat="1" applyFont="1" applyFill="1" applyBorder="1" applyAlignment="1"/>
    <xf numFmtId="4" fontId="31" fillId="0" borderId="2" xfId="33" applyNumberFormat="1" applyFont="1" applyFill="1" applyBorder="1" applyAlignment="1">
      <alignment vertical="justify"/>
    </xf>
    <xf numFmtId="4" fontId="31" fillId="0" borderId="0" xfId="33" applyNumberFormat="1" applyFont="1" applyFill="1" applyBorder="1" applyAlignment="1" applyProtection="1"/>
    <xf numFmtId="4" fontId="31" fillId="0" borderId="0" xfId="33" applyNumberFormat="1" applyFont="1" applyFill="1" applyBorder="1" applyAlignment="1" applyProtection="1">
      <alignment vertical="center"/>
    </xf>
    <xf numFmtId="4" fontId="31" fillId="33" borderId="2" xfId="33" applyNumberFormat="1" applyFont="1" applyFill="1" applyBorder="1" applyAlignment="1"/>
    <xf numFmtId="4" fontId="31" fillId="33" borderId="2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/>
    </xf>
    <xf numFmtId="2" fontId="24" fillId="33" borderId="0" xfId="34" applyNumberFormat="1" applyFont="1" applyFill="1" applyBorder="1" applyAlignment="1">
      <alignment horizontal="center"/>
    </xf>
    <xf numFmtId="2" fontId="24" fillId="0" borderId="0" xfId="34" applyNumberFormat="1" applyFont="1" applyFill="1" applyBorder="1" applyAlignment="1">
      <alignment horizontal="center"/>
    </xf>
    <xf numFmtId="2" fontId="24" fillId="33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center"/>
    </xf>
    <xf numFmtId="2" fontId="24" fillId="33" borderId="0" xfId="33" applyNumberFormat="1" applyFont="1" applyFill="1" applyBorder="1" applyAlignment="1">
      <alignment horizontal="center"/>
    </xf>
    <xf numFmtId="2" fontId="24" fillId="0" borderId="2" xfId="34" applyNumberFormat="1" applyFont="1" applyFill="1" applyBorder="1" applyAlignment="1">
      <alignment horizontal="center"/>
    </xf>
    <xf numFmtId="2" fontId="24" fillId="33" borderId="0" xfId="0" applyNumberFormat="1" applyFont="1" applyFill="1" applyAlignment="1">
      <alignment horizontal="center"/>
    </xf>
    <xf numFmtId="2" fontId="24" fillId="0" borderId="0" xfId="0" applyNumberFormat="1" applyFont="1" applyAlignment="1">
      <alignment horizontal="center"/>
    </xf>
    <xf numFmtId="0" fontId="24" fillId="33" borderId="0" xfId="0" applyFont="1" applyFill="1" applyAlignment="1">
      <alignment horizontal="right"/>
    </xf>
    <xf numFmtId="2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2" fontId="24" fillId="33" borderId="0" xfId="0" applyNumberFormat="1" applyFont="1" applyFill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0" fontId="24" fillId="33" borderId="0" xfId="34" applyNumberFormat="1" applyFont="1" applyFill="1" applyBorder="1" applyAlignment="1">
      <alignment horizontal="center" vertical="center"/>
    </xf>
    <xf numFmtId="4" fontId="24" fillId="0" borderId="0" xfId="34" applyNumberFormat="1" applyFont="1" applyFill="1" applyBorder="1" applyAlignment="1">
      <alignment horizontal="center" vertical="center"/>
    </xf>
    <xf numFmtId="4" fontId="24" fillId="33" borderId="0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167" fontId="24" fillId="33" borderId="0" xfId="33" applyNumberFormat="1" applyFont="1" applyFill="1" applyAlignment="1">
      <alignment horizontal="center"/>
    </xf>
    <xf numFmtId="167" fontId="24" fillId="33" borderId="0" xfId="33" applyNumberFormat="1" applyFont="1" applyFill="1" applyAlignment="1">
      <alignment horizontal="right"/>
    </xf>
    <xf numFmtId="164" fontId="24" fillId="0" borderId="0" xfId="34" applyFont="1" applyFill="1" applyAlignment="1">
      <alignment horizontal="right"/>
    </xf>
    <xf numFmtId="2" fontId="24" fillId="0" borderId="0" xfId="34" applyNumberFormat="1" applyFont="1" applyFill="1" applyAlignment="1">
      <alignment horizontal="right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2" fontId="24" fillId="0" borderId="2" xfId="0" applyNumberFormat="1" applyFont="1" applyBorder="1" applyAlignment="1">
      <alignment horizontal="right"/>
    </xf>
    <xf numFmtId="0" fontId="21" fillId="32" borderId="1" xfId="0" applyFont="1" applyFill="1" applyBorder="1" applyAlignment="1">
      <alignment horizontal="right"/>
    </xf>
    <xf numFmtId="4" fontId="21" fillId="32" borderId="1" xfId="0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4" fontId="31" fillId="33" borderId="0" xfId="33" applyNumberFormat="1" applyFont="1" applyFill="1" applyBorder="1" applyAlignment="1">
      <alignment horizontal="right" vertical="center"/>
    </xf>
    <xf numFmtId="167" fontId="31" fillId="33" borderId="0" xfId="33" applyNumberFormat="1" applyFont="1" applyFill="1" applyBorder="1" applyAlignment="1">
      <alignment horizontal="center" vertical="center"/>
    </xf>
    <xf numFmtId="0" fontId="23" fillId="33" borderId="2" xfId="36" applyFont="1" applyFill="1" applyBorder="1"/>
    <xf numFmtId="3" fontId="24" fillId="33" borderId="2" xfId="34" applyNumberFormat="1" applyFont="1" applyFill="1" applyBorder="1" applyAlignment="1">
      <alignment horizontal="right"/>
    </xf>
    <xf numFmtId="4" fontId="24" fillId="33" borderId="2" xfId="34" applyNumberFormat="1" applyFont="1" applyFill="1" applyBorder="1" applyAlignment="1">
      <alignment horizontal="right"/>
    </xf>
    <xf numFmtId="2" fontId="24" fillId="0" borderId="2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/>
    <xf numFmtId="4" fontId="24" fillId="33" borderId="0" xfId="0" applyNumberFormat="1" applyFont="1" applyFill="1" applyAlignment="1">
      <alignment vertical="center"/>
    </xf>
    <xf numFmtId="0" fontId="24" fillId="33" borderId="0" xfId="0" applyFont="1" applyFill="1" applyAlignment="1">
      <alignment horizontal="right" vertical="center"/>
    </xf>
    <xf numFmtId="167" fontId="24" fillId="33" borderId="0" xfId="33" applyNumberFormat="1" applyFont="1" applyFill="1" applyAlignment="1"/>
    <xf numFmtId="167" fontId="24" fillId="0" borderId="2" xfId="33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/>
    <xf numFmtId="4" fontId="24" fillId="0" borderId="2" xfId="0" applyNumberFormat="1" applyFont="1" applyBorder="1" applyAlignment="1">
      <alignment vertical="center"/>
    </xf>
    <xf numFmtId="0" fontId="27" fillId="32" borderId="10" xfId="0" applyFont="1" applyFill="1" applyBorder="1" applyAlignment="1">
      <alignment horizontal="center" vertical="center" wrapText="1"/>
    </xf>
    <xf numFmtId="0" fontId="27" fillId="32" borderId="3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27" fillId="32" borderId="0" xfId="0" applyFont="1" applyFill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3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18143</xdr:rowOff>
    </xdr:from>
    <xdr:to>
      <xdr:col>11</xdr:col>
      <xdr:colOff>760286</xdr:colOff>
      <xdr:row>3</xdr:row>
      <xdr:rowOff>181031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8ADD37F-0ED7-D563-AA29-869069BA32DF}"/>
            </a:ext>
          </a:extLst>
        </xdr:cNvPr>
        <xdr:cNvGrpSpPr/>
      </xdr:nvGrpSpPr>
      <xdr:grpSpPr>
        <a:xfrm>
          <a:off x="0" y="18143"/>
          <a:ext cx="9178572" cy="1006531"/>
          <a:chOff x="0" y="18143"/>
          <a:chExt cx="9178572" cy="1006531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74564"/>
            <a:ext cx="9178572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" name="Imagen 1">
            <a:extLst>
              <a:ext uri="{FF2B5EF4-FFF2-40B4-BE49-F238E27FC236}">
                <a16:creationId xmlns:a16="http://schemas.microsoft.com/office/drawing/2014/main" id="{A23DC10D-307D-438F-AE9A-A10E4F6C7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8143"/>
            <a:ext cx="2414225" cy="85961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2</xdr:row>
      <xdr:rowOff>345971</xdr:rowOff>
    </xdr:from>
    <xdr:to>
      <xdr:col>16</xdr:col>
      <xdr:colOff>440115</xdr:colOff>
      <xdr:row>2</xdr:row>
      <xdr:rowOff>396081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CD11CFED-4138-4BB7-4FEF-1BAE9EDD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89644" y="951089"/>
          <a:ext cx="9360000" cy="5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37353</xdr:rowOff>
    </xdr:from>
    <xdr:to>
      <xdr:col>2</xdr:col>
      <xdr:colOff>202931</xdr:colOff>
      <xdr:row>2</xdr:row>
      <xdr:rowOff>291846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22A49-0263-4509-9436-48793730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53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2</xdr:row>
      <xdr:rowOff>147964</xdr:rowOff>
    </xdr:from>
    <xdr:to>
      <xdr:col>9</xdr:col>
      <xdr:colOff>9567</xdr:colOff>
      <xdr:row>2</xdr:row>
      <xdr:rowOff>189565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A234E613-67D1-4316-8DBA-CBD8EDBD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7611" y="797905"/>
          <a:ext cx="7736427" cy="41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703460</xdr:colOff>
      <xdr:row>2</xdr:row>
      <xdr:rowOff>209670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63E79-B5CE-45CA-B907-6D154FEA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146503</xdr:rowOff>
    </xdr:from>
    <xdr:to>
      <xdr:col>9</xdr:col>
      <xdr:colOff>6528</xdr:colOff>
      <xdr:row>2</xdr:row>
      <xdr:rowOff>187911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9381C516-CEC9-0720-1547-FD5C30DD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5400" y="800553"/>
          <a:ext cx="7734478" cy="4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706075</xdr:colOff>
      <xdr:row>2</xdr:row>
      <xdr:rowOff>205561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97641-1CD5-4E87-8500-DE2E55BA5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5" sqref="A5:L6"/>
    </sheetView>
  </sheetViews>
  <sheetFormatPr baseColWidth="10" defaultColWidth="11.453125" defaultRowHeight="16" x14ac:dyDescent="0.45"/>
  <cols>
    <col min="1" max="1" width="3.6328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4" ht="22" customHeight="1" x14ac:dyDescent="0.45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4" ht="22" customHeight="1" x14ac:dyDescent="0.45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N3" s="4"/>
    </row>
    <row r="4" spans="1:14" ht="22" customHeight="1" x14ac:dyDescent="0.4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</row>
    <row r="5" spans="1:14" ht="36" customHeight="1" x14ac:dyDescent="0.45">
      <c r="A5" s="170" t="s">
        <v>47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2"/>
    </row>
    <row r="6" spans="1:14" ht="31.5" customHeight="1" x14ac:dyDescent="0.45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5"/>
    </row>
    <row r="7" spans="1:14" x14ac:dyDescent="0.45">
      <c r="A7" s="163" t="s">
        <v>90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5"/>
    </row>
    <row r="8" spans="1:14" ht="15" customHeight="1" x14ac:dyDescent="0.45">
      <c r="A8" s="166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8"/>
    </row>
    <row r="9" spans="1:14" x14ac:dyDescent="0.45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8"/>
    </row>
    <row r="10" spans="1:14" s="10" customFormat="1" ht="31.5" customHeight="1" x14ac:dyDescent="0.25">
      <c r="A10" s="91" t="s">
        <v>59</v>
      </c>
      <c r="B10" s="97" t="str">
        <f>'1'!A6&amp;" "&amp;'1'!A7</f>
        <v>Comportamiento de los precios mayoristas de los principales alimentos en las principales ocho ciudades. Variación mensual. Julio de 2025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4" s="10" customFormat="1" ht="31.5" customHeight="1" x14ac:dyDescent="0.25">
      <c r="A11" s="93" t="s">
        <v>60</v>
      </c>
      <c r="B11" s="98" t="str">
        <f>'2'!A6&amp;" "&amp;'2'!A7</f>
        <v>Comportamiento de los precios mayoristas de los principales alimentos en las principales ocho ciudades. Variación año corrido. Julio de 2025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4" s="10" customFormat="1" ht="31.5" customHeight="1" x14ac:dyDescent="0.25">
      <c r="A12" s="92" t="s">
        <v>61</v>
      </c>
      <c r="B12" s="99" t="str">
        <f>'3'!A6&amp;" "&amp;'3'!A7</f>
        <v>Comportamiento de los precios mayoristas de los principales alimentos en las principales ocho ciudades. Variación anual. Julio de 2025</v>
      </c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96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B11" location="'2'!A1" display="'2'!A1" xr:uid="{549AA18A-F416-4462-A600-6B2E456340C2}"/>
    <hyperlink ref="B12" location="'3'!A1" display="'3'!A1" xr:uid="{0B4092F7-A9A7-4AEB-82ED-D56014BF70B6}"/>
    <hyperlink ref="B10" location="'1'!A1" display="'1'!A1" xr:uid="{D574E648-D3CE-4B18-B9F5-A71884B6F08B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3"/>
  <sheetViews>
    <sheetView showGridLines="0" topLeftCell="A65" zoomScale="85" zoomScaleNormal="85" workbookViewId="0">
      <selection activeCell="A83" sqref="A83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9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9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9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9" s="1" customFormat="1" ht="18.75" customHeight="1" x14ac:dyDescent="0.4">
      <c r="A4" s="178" t="s">
        <v>0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9" s="1" customFormat="1" ht="24" customHeight="1" x14ac:dyDescent="0.4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S5" s="100" t="s">
        <v>63</v>
      </c>
    </row>
    <row r="6" spans="1:19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9" ht="19.5" customHeight="1" x14ac:dyDescent="0.45">
      <c r="A7" s="2" t="str">
        <f>+"Variación mensual. "&amp;Índice!A7</f>
        <v>Variación mensual. Julio de 2025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9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9" x14ac:dyDescent="0.45">
      <c r="A9" s="181" t="s">
        <v>1</v>
      </c>
      <c r="B9" s="180" t="s">
        <v>2</v>
      </c>
      <c r="C9" s="180"/>
      <c r="D9" s="180" t="s">
        <v>3</v>
      </c>
      <c r="E9" s="180"/>
      <c r="F9" s="180" t="s">
        <v>4</v>
      </c>
      <c r="G9" s="180"/>
      <c r="H9" s="179" t="s">
        <v>5</v>
      </c>
      <c r="I9" s="179"/>
      <c r="J9" s="180" t="s">
        <v>6</v>
      </c>
      <c r="K9" s="180"/>
      <c r="L9" s="180" t="s">
        <v>7</v>
      </c>
      <c r="M9" s="180"/>
      <c r="N9" s="180" t="s">
        <v>8</v>
      </c>
      <c r="O9" s="180"/>
      <c r="P9" s="180" t="s">
        <v>9</v>
      </c>
      <c r="Q9" s="180"/>
    </row>
    <row r="10" spans="1:19" x14ac:dyDescent="0.45">
      <c r="A10" s="182"/>
      <c r="B10" s="5" t="s">
        <v>10</v>
      </c>
      <c r="C10" s="19" t="s">
        <v>11</v>
      </c>
      <c r="D10" s="5" t="s">
        <v>10</v>
      </c>
      <c r="E10" s="19" t="s">
        <v>11</v>
      </c>
      <c r="F10" s="5" t="s">
        <v>10</v>
      </c>
      <c r="G10" s="19" t="s">
        <v>11</v>
      </c>
      <c r="H10" s="5" t="s">
        <v>10</v>
      </c>
      <c r="I10" s="19" t="s">
        <v>11</v>
      </c>
      <c r="J10" s="5" t="s">
        <v>10</v>
      </c>
      <c r="K10" s="19" t="s">
        <v>11</v>
      </c>
      <c r="L10" s="5" t="s">
        <v>10</v>
      </c>
      <c r="M10" s="19" t="s">
        <v>11</v>
      </c>
      <c r="N10" s="5" t="s">
        <v>10</v>
      </c>
      <c r="O10" s="19" t="s">
        <v>11</v>
      </c>
      <c r="P10" s="5" t="s">
        <v>10</v>
      </c>
      <c r="Q10" s="19" t="s">
        <v>11</v>
      </c>
    </row>
    <row r="11" spans="1:19" s="72" customFormat="1" ht="11.5" customHeight="1" x14ac:dyDescent="0.4">
      <c r="A11" s="78" t="s">
        <v>17</v>
      </c>
      <c r="B11" s="79"/>
      <c r="C11" s="80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</row>
    <row r="12" spans="1:19" s="72" customFormat="1" ht="12" customHeight="1" x14ac:dyDescent="0.4">
      <c r="A12" s="22" t="s">
        <v>18</v>
      </c>
      <c r="B12" s="23">
        <v>1836</v>
      </c>
      <c r="C12" s="117">
        <v>49.39</v>
      </c>
      <c r="D12" s="23">
        <v>2896</v>
      </c>
      <c r="E12" s="63">
        <v>2.59</v>
      </c>
      <c r="F12" s="23">
        <v>1501</v>
      </c>
      <c r="G12" s="63">
        <v>-0.13</v>
      </c>
      <c r="H12" s="23">
        <v>2240</v>
      </c>
      <c r="I12" s="117">
        <v>24.79</v>
      </c>
      <c r="J12" s="23">
        <v>1939</v>
      </c>
      <c r="K12" s="63">
        <v>18.52</v>
      </c>
      <c r="L12" s="23">
        <v>1946</v>
      </c>
      <c r="M12" s="63">
        <v>6.28</v>
      </c>
      <c r="N12" s="23">
        <v>1557</v>
      </c>
      <c r="O12" s="63">
        <v>7.45</v>
      </c>
      <c r="P12" s="23">
        <v>1961</v>
      </c>
      <c r="Q12" s="63">
        <v>-1.95</v>
      </c>
    </row>
    <row r="13" spans="1:19" s="72" customFormat="1" ht="12" customHeight="1" x14ac:dyDescent="0.4">
      <c r="A13" s="20" t="s">
        <v>19</v>
      </c>
      <c r="B13" s="21">
        <v>9959</v>
      </c>
      <c r="C13" s="61">
        <v>-0.23</v>
      </c>
      <c r="D13" s="21">
        <v>7236</v>
      </c>
      <c r="E13" s="61">
        <v>2.64</v>
      </c>
      <c r="F13" s="21">
        <v>6409</v>
      </c>
      <c r="G13" s="61">
        <v>-5.72</v>
      </c>
      <c r="H13" s="118" t="s">
        <v>91</v>
      </c>
      <c r="I13" s="131" t="s">
        <v>92</v>
      </c>
      <c r="J13" s="21">
        <v>6786</v>
      </c>
      <c r="K13" s="61">
        <v>-6.09</v>
      </c>
      <c r="L13" s="21">
        <v>8162</v>
      </c>
      <c r="M13" s="61">
        <v>-19.670000000000002</v>
      </c>
      <c r="N13" s="21">
        <v>5727</v>
      </c>
      <c r="O13" s="61">
        <v>-5.74</v>
      </c>
      <c r="P13" s="21">
        <v>6840</v>
      </c>
      <c r="Q13" s="61">
        <v>-11.91</v>
      </c>
    </row>
    <row r="14" spans="1:19" s="72" customFormat="1" ht="12" customHeight="1" x14ac:dyDescent="0.4">
      <c r="A14" s="22" t="s">
        <v>20</v>
      </c>
      <c r="B14" s="23">
        <v>2882</v>
      </c>
      <c r="C14" s="63">
        <v>7.86</v>
      </c>
      <c r="D14" s="23">
        <v>2333</v>
      </c>
      <c r="E14" s="63">
        <v>9.48</v>
      </c>
      <c r="F14" s="23">
        <v>2400</v>
      </c>
      <c r="G14" s="63">
        <v>1.65</v>
      </c>
      <c r="H14" s="23">
        <v>2863</v>
      </c>
      <c r="I14" s="63">
        <v>9.4</v>
      </c>
      <c r="J14" s="23">
        <v>2773</v>
      </c>
      <c r="K14" s="63">
        <v>6.78</v>
      </c>
      <c r="L14" s="23">
        <v>2357</v>
      </c>
      <c r="M14" s="63">
        <v>6.89</v>
      </c>
      <c r="N14" s="23">
        <v>2491</v>
      </c>
      <c r="O14" s="63">
        <v>5.24</v>
      </c>
      <c r="P14" s="23">
        <v>2541</v>
      </c>
      <c r="Q14" s="63">
        <v>9.01</v>
      </c>
    </row>
    <row r="15" spans="1:19" s="72" customFormat="1" ht="12" customHeight="1" x14ac:dyDescent="0.4">
      <c r="A15" s="20" t="s">
        <v>21</v>
      </c>
      <c r="B15" s="21">
        <v>3032</v>
      </c>
      <c r="C15" s="61">
        <v>15.99</v>
      </c>
      <c r="D15" s="21">
        <v>4443</v>
      </c>
      <c r="E15" s="61">
        <v>21.26</v>
      </c>
      <c r="F15" s="21">
        <v>2489</v>
      </c>
      <c r="G15" s="61">
        <v>29.5</v>
      </c>
      <c r="H15" s="21">
        <v>3381</v>
      </c>
      <c r="I15" s="116">
        <v>11.11</v>
      </c>
      <c r="J15" s="21">
        <v>4751</v>
      </c>
      <c r="K15" s="61">
        <v>33.42</v>
      </c>
      <c r="L15" s="21">
        <v>2403</v>
      </c>
      <c r="M15" s="61">
        <v>30.74</v>
      </c>
      <c r="N15" s="21">
        <v>3259</v>
      </c>
      <c r="O15" s="61">
        <v>13.95</v>
      </c>
      <c r="P15" s="21">
        <v>2964</v>
      </c>
      <c r="Q15" s="61">
        <v>25.54</v>
      </c>
    </row>
    <row r="16" spans="1:19" s="72" customFormat="1" ht="12" customHeight="1" x14ac:dyDescent="0.4">
      <c r="A16" s="22" t="s">
        <v>22</v>
      </c>
      <c r="B16" s="119" t="s">
        <v>91</v>
      </c>
      <c r="C16" s="130" t="s">
        <v>92</v>
      </c>
      <c r="D16" s="23">
        <v>1399</v>
      </c>
      <c r="E16" s="63">
        <v>-7.53</v>
      </c>
      <c r="F16" s="23">
        <v>1251</v>
      </c>
      <c r="G16" s="63">
        <v>10.9</v>
      </c>
      <c r="H16" s="23">
        <v>1188</v>
      </c>
      <c r="I16" s="63">
        <v>-14.96</v>
      </c>
      <c r="J16" s="23">
        <v>1609</v>
      </c>
      <c r="K16" s="63">
        <v>31.89</v>
      </c>
      <c r="L16" s="23">
        <v>1714</v>
      </c>
      <c r="M16" s="63">
        <v>6.46</v>
      </c>
      <c r="N16" s="23">
        <v>1543</v>
      </c>
      <c r="O16" s="63">
        <v>-0.77</v>
      </c>
      <c r="P16" s="119" t="s">
        <v>91</v>
      </c>
      <c r="Q16" s="130" t="s">
        <v>92</v>
      </c>
    </row>
    <row r="17" spans="1:17" s="72" customFormat="1" ht="12" customHeight="1" x14ac:dyDescent="0.4">
      <c r="A17" s="20" t="s">
        <v>58</v>
      </c>
      <c r="B17" s="21">
        <v>8977</v>
      </c>
      <c r="C17" s="120">
        <v>1.42</v>
      </c>
      <c r="D17" s="21">
        <v>6971</v>
      </c>
      <c r="E17" s="61">
        <v>21.11</v>
      </c>
      <c r="F17" s="21">
        <v>4598</v>
      </c>
      <c r="G17" s="61">
        <v>17.45</v>
      </c>
      <c r="H17" s="118" t="s">
        <v>91</v>
      </c>
      <c r="I17" s="133" t="s">
        <v>92</v>
      </c>
      <c r="J17" s="21">
        <v>4001</v>
      </c>
      <c r="K17" s="61">
        <v>-9.5</v>
      </c>
      <c r="L17" s="21">
        <v>5810</v>
      </c>
      <c r="M17" s="61">
        <v>5.64</v>
      </c>
      <c r="N17" s="21">
        <v>3345</v>
      </c>
      <c r="O17" s="61">
        <v>-6.33</v>
      </c>
      <c r="P17" s="21">
        <v>4777</v>
      </c>
      <c r="Q17" s="120">
        <v>8.57</v>
      </c>
    </row>
    <row r="18" spans="1:17" s="72" customFormat="1" ht="12" customHeight="1" x14ac:dyDescent="0.4">
      <c r="A18" s="22" t="s">
        <v>23</v>
      </c>
      <c r="B18" s="23">
        <v>3776</v>
      </c>
      <c r="C18" s="63">
        <v>19.53</v>
      </c>
      <c r="D18" s="23">
        <v>5414</v>
      </c>
      <c r="E18" s="63">
        <v>45.89</v>
      </c>
      <c r="F18" s="23">
        <v>3234</v>
      </c>
      <c r="G18" s="63">
        <v>56.69</v>
      </c>
      <c r="H18" s="23">
        <v>4037</v>
      </c>
      <c r="I18" s="63">
        <v>39.79</v>
      </c>
      <c r="J18" s="23">
        <v>4033</v>
      </c>
      <c r="K18" s="63">
        <v>-29.49</v>
      </c>
      <c r="L18" s="23">
        <v>3874</v>
      </c>
      <c r="M18" s="63">
        <v>35.979999999999997</v>
      </c>
      <c r="N18" s="23">
        <v>3419</v>
      </c>
      <c r="O18" s="63">
        <v>54.01</v>
      </c>
      <c r="P18" s="23">
        <v>4268</v>
      </c>
      <c r="Q18" s="63">
        <v>-8.35</v>
      </c>
    </row>
    <row r="19" spans="1:17" s="72" customFormat="1" ht="12" customHeight="1" x14ac:dyDescent="0.4">
      <c r="A19" s="20" t="s">
        <v>24</v>
      </c>
      <c r="B19" s="21">
        <v>3462</v>
      </c>
      <c r="C19" s="61">
        <v>-1.73</v>
      </c>
      <c r="D19" s="21">
        <v>3385</v>
      </c>
      <c r="E19" s="61">
        <v>22.07</v>
      </c>
      <c r="F19" s="21">
        <v>2317</v>
      </c>
      <c r="G19" s="61">
        <v>16.37</v>
      </c>
      <c r="H19" s="21">
        <v>2840</v>
      </c>
      <c r="I19" s="61">
        <v>-4.41</v>
      </c>
      <c r="J19" s="21">
        <v>1519</v>
      </c>
      <c r="K19" s="61">
        <v>37.090000000000003</v>
      </c>
      <c r="L19" s="21">
        <v>2705</v>
      </c>
      <c r="M19" s="61">
        <v>16.8</v>
      </c>
      <c r="N19" s="21">
        <v>1579</v>
      </c>
      <c r="O19" s="61">
        <v>4.99</v>
      </c>
      <c r="P19" s="21">
        <v>2172</v>
      </c>
      <c r="Q19" s="61">
        <v>-14.32</v>
      </c>
    </row>
    <row r="20" spans="1:17" s="72" customFormat="1" ht="12" customHeight="1" x14ac:dyDescent="0.4">
      <c r="A20" s="22" t="s">
        <v>25</v>
      </c>
      <c r="B20" s="23">
        <v>1944</v>
      </c>
      <c r="C20" s="63">
        <v>53.8</v>
      </c>
      <c r="D20" s="23">
        <v>2848</v>
      </c>
      <c r="E20" s="63">
        <v>37.72</v>
      </c>
      <c r="F20" s="23">
        <v>1530</v>
      </c>
      <c r="G20" s="63">
        <v>91.97</v>
      </c>
      <c r="H20" s="23">
        <v>2111</v>
      </c>
      <c r="I20" s="63">
        <v>38.79</v>
      </c>
      <c r="J20" s="23">
        <v>1431</v>
      </c>
      <c r="K20" s="63">
        <v>66.2</v>
      </c>
      <c r="L20" s="23">
        <v>1685</v>
      </c>
      <c r="M20" s="63">
        <v>0.6</v>
      </c>
      <c r="N20" s="23">
        <v>1997</v>
      </c>
      <c r="O20" s="63">
        <v>71.12</v>
      </c>
      <c r="P20" s="23">
        <v>1682</v>
      </c>
      <c r="Q20" s="63">
        <v>3.51</v>
      </c>
    </row>
    <row r="21" spans="1:17" s="72" customFormat="1" ht="12" customHeight="1" x14ac:dyDescent="0.4">
      <c r="A21" s="20" t="s">
        <v>26</v>
      </c>
      <c r="B21" s="21">
        <v>2605</v>
      </c>
      <c r="C21" s="61">
        <v>0.19</v>
      </c>
      <c r="D21" s="21">
        <v>3594</v>
      </c>
      <c r="E21" s="61">
        <v>3.25</v>
      </c>
      <c r="F21" s="21">
        <v>2749</v>
      </c>
      <c r="G21" s="61">
        <v>-0.18</v>
      </c>
      <c r="H21" s="21">
        <v>3471</v>
      </c>
      <c r="I21" s="61">
        <v>2.06</v>
      </c>
      <c r="J21" s="21">
        <v>3157</v>
      </c>
      <c r="K21" s="61">
        <v>-1.99</v>
      </c>
      <c r="L21" s="21">
        <v>3121</v>
      </c>
      <c r="M21" s="61">
        <v>16.850000000000001</v>
      </c>
      <c r="N21" s="21">
        <v>1923</v>
      </c>
      <c r="O21" s="61">
        <v>18.7</v>
      </c>
      <c r="P21" s="21">
        <v>3013</v>
      </c>
      <c r="Q21" s="61">
        <v>-1.21</v>
      </c>
    </row>
    <row r="22" spans="1:17" s="72" customFormat="1" ht="12" customHeight="1" x14ac:dyDescent="0.4">
      <c r="A22" s="22" t="s">
        <v>27</v>
      </c>
      <c r="B22" s="23">
        <v>3299</v>
      </c>
      <c r="C22" s="63">
        <v>27.13</v>
      </c>
      <c r="D22" s="23">
        <v>3173</v>
      </c>
      <c r="E22" s="63">
        <v>39.78</v>
      </c>
      <c r="F22" s="23">
        <v>3139</v>
      </c>
      <c r="G22" s="63">
        <v>30.96</v>
      </c>
      <c r="H22" s="23">
        <v>3476</v>
      </c>
      <c r="I22" s="63">
        <v>38.380000000000003</v>
      </c>
      <c r="J22" s="23">
        <v>3457</v>
      </c>
      <c r="K22" s="63">
        <v>35.090000000000003</v>
      </c>
      <c r="L22" s="23">
        <v>3218</v>
      </c>
      <c r="M22" s="63">
        <v>53.53</v>
      </c>
      <c r="N22" s="23">
        <v>2957</v>
      </c>
      <c r="O22" s="63">
        <v>152.74</v>
      </c>
      <c r="P22" s="23">
        <v>4007</v>
      </c>
      <c r="Q22" s="63">
        <v>36.06</v>
      </c>
    </row>
    <row r="23" spans="1:17" s="72" customFormat="1" ht="12" customHeight="1" x14ac:dyDescent="0.4">
      <c r="A23" s="20" t="s">
        <v>93</v>
      </c>
      <c r="B23" s="21">
        <v>2131</v>
      </c>
      <c r="C23" s="61">
        <v>44.97</v>
      </c>
      <c r="D23" s="21" t="s">
        <v>91</v>
      </c>
      <c r="E23" s="61" t="s">
        <v>92</v>
      </c>
      <c r="F23" s="21">
        <v>2180</v>
      </c>
      <c r="G23" s="61">
        <v>5.01</v>
      </c>
      <c r="H23" s="21">
        <v>2036</v>
      </c>
      <c r="I23" s="61">
        <v>52.4</v>
      </c>
      <c r="J23" s="21">
        <v>1661</v>
      </c>
      <c r="K23" s="61">
        <v>34.39</v>
      </c>
      <c r="L23" s="21" t="s">
        <v>91</v>
      </c>
      <c r="M23" s="61" t="s">
        <v>92</v>
      </c>
      <c r="N23" s="21">
        <v>1212</v>
      </c>
      <c r="O23" s="61">
        <v>126.97</v>
      </c>
      <c r="P23" s="21">
        <v>1873</v>
      </c>
      <c r="Q23" s="61">
        <v>2.52</v>
      </c>
    </row>
    <row r="24" spans="1:17" s="72" customFormat="1" ht="12" customHeight="1" x14ac:dyDescent="0.4">
      <c r="A24" s="22" t="s">
        <v>28</v>
      </c>
      <c r="B24" s="23">
        <v>4607</v>
      </c>
      <c r="C24" s="63">
        <v>-1.52</v>
      </c>
      <c r="D24" s="23">
        <v>4667</v>
      </c>
      <c r="E24" s="63">
        <v>7.24</v>
      </c>
      <c r="F24" s="23">
        <v>4055</v>
      </c>
      <c r="G24" s="63">
        <v>-5.23</v>
      </c>
      <c r="H24" s="23">
        <v>4538</v>
      </c>
      <c r="I24" s="63">
        <v>-6.59</v>
      </c>
      <c r="J24" s="23">
        <v>4327</v>
      </c>
      <c r="K24" s="63">
        <v>-1.77</v>
      </c>
      <c r="L24" s="23">
        <v>4706</v>
      </c>
      <c r="M24" s="63">
        <v>11.94</v>
      </c>
      <c r="N24" s="23">
        <v>4375</v>
      </c>
      <c r="O24" s="63">
        <v>6.84</v>
      </c>
      <c r="P24" s="23">
        <v>4723</v>
      </c>
      <c r="Q24" s="63">
        <v>10.38</v>
      </c>
    </row>
    <row r="25" spans="1:17" s="85" customFormat="1" ht="11.5" x14ac:dyDescent="0.3">
      <c r="A25" s="151" t="s">
        <v>29</v>
      </c>
      <c r="B25" s="152">
        <v>3109</v>
      </c>
      <c r="C25" s="153">
        <v>24.76</v>
      </c>
      <c r="D25" s="152">
        <v>3863</v>
      </c>
      <c r="E25" s="153">
        <v>26.7</v>
      </c>
      <c r="F25" s="152">
        <v>2783</v>
      </c>
      <c r="G25" s="153">
        <v>23.91</v>
      </c>
      <c r="H25" s="152">
        <v>3301</v>
      </c>
      <c r="I25" s="153">
        <v>26.57</v>
      </c>
      <c r="J25" s="152">
        <v>4140</v>
      </c>
      <c r="K25" s="153">
        <v>42.66</v>
      </c>
      <c r="L25" s="152">
        <v>3089</v>
      </c>
      <c r="M25" s="153">
        <v>55.46</v>
      </c>
      <c r="N25" s="152">
        <v>1749</v>
      </c>
      <c r="O25" s="153">
        <v>59.73</v>
      </c>
      <c r="P25" s="152">
        <v>3834</v>
      </c>
      <c r="Q25" s="153">
        <v>21.6</v>
      </c>
    </row>
    <row r="26" spans="1:17" s="72" customFormat="1" ht="12" customHeight="1" x14ac:dyDescent="0.4">
      <c r="A26" s="78" t="s">
        <v>30</v>
      </c>
      <c r="B26" s="146"/>
      <c r="C26" s="147"/>
      <c r="D26" s="146"/>
      <c r="E26" s="147"/>
      <c r="F26" s="146"/>
      <c r="G26" s="147"/>
      <c r="H26" s="146"/>
      <c r="I26" s="147"/>
      <c r="J26" s="146"/>
      <c r="K26" s="147"/>
      <c r="L26" s="146"/>
      <c r="M26" s="147"/>
      <c r="N26" s="146"/>
      <c r="O26" s="147"/>
      <c r="P26" s="146"/>
      <c r="Q26" s="147"/>
    </row>
    <row r="27" spans="1:17" s="72" customFormat="1" ht="12" customHeight="1" x14ac:dyDescent="0.4">
      <c r="A27" s="22" t="s">
        <v>48</v>
      </c>
      <c r="B27" s="121" t="s">
        <v>91</v>
      </c>
      <c r="C27" s="130" t="s">
        <v>92</v>
      </c>
      <c r="D27" s="23">
        <v>7917</v>
      </c>
      <c r="E27" s="63">
        <v>-10.61</v>
      </c>
      <c r="F27" s="23">
        <v>7208</v>
      </c>
      <c r="G27" s="117">
        <v>-0.99</v>
      </c>
      <c r="H27" s="23">
        <v>8048</v>
      </c>
      <c r="I27" s="30">
        <v>-14.43</v>
      </c>
      <c r="J27" s="23">
        <v>7198</v>
      </c>
      <c r="K27" s="63">
        <v>-14.01</v>
      </c>
      <c r="L27" s="23">
        <v>7556</v>
      </c>
      <c r="M27" s="117">
        <v>-4.1500000000000004</v>
      </c>
      <c r="N27" s="23">
        <v>5634</v>
      </c>
      <c r="O27" s="63">
        <v>-7.64</v>
      </c>
      <c r="P27" s="23">
        <v>6542</v>
      </c>
      <c r="Q27" s="63">
        <v>-17.079999999999998</v>
      </c>
    </row>
    <row r="28" spans="1:17" s="72" customFormat="1" ht="12" customHeight="1" x14ac:dyDescent="0.4">
      <c r="A28" s="20" t="s">
        <v>31</v>
      </c>
      <c r="B28" s="21">
        <v>1777</v>
      </c>
      <c r="C28" s="61">
        <v>-1</v>
      </c>
      <c r="D28" s="21">
        <v>2539</v>
      </c>
      <c r="E28" s="61">
        <v>-1.1299999999999999</v>
      </c>
      <c r="F28" s="21">
        <v>3168</v>
      </c>
      <c r="G28" s="61">
        <v>-0.09</v>
      </c>
      <c r="H28" s="118" t="s">
        <v>91</v>
      </c>
      <c r="I28" s="131" t="s">
        <v>92</v>
      </c>
      <c r="J28" s="21">
        <v>2289</v>
      </c>
      <c r="K28" s="61">
        <v>-2.97</v>
      </c>
      <c r="L28" s="21">
        <v>3441</v>
      </c>
      <c r="M28" s="61">
        <v>0.03</v>
      </c>
      <c r="N28" s="21">
        <v>2081</v>
      </c>
      <c r="O28" s="61">
        <v>2.77</v>
      </c>
      <c r="P28" s="21">
        <v>2107</v>
      </c>
      <c r="Q28" s="61">
        <v>0.24</v>
      </c>
    </row>
    <row r="29" spans="1:17" s="72" customFormat="1" ht="12" customHeight="1" x14ac:dyDescent="0.4">
      <c r="A29" s="22" t="s">
        <v>32</v>
      </c>
      <c r="B29" s="23">
        <v>6818</v>
      </c>
      <c r="C29" s="63">
        <v>-10.38</v>
      </c>
      <c r="D29" s="23">
        <v>7585</v>
      </c>
      <c r="E29" s="63">
        <v>1.4</v>
      </c>
      <c r="F29" s="119" t="s">
        <v>91</v>
      </c>
      <c r="G29" s="130" t="s">
        <v>92</v>
      </c>
      <c r="H29" s="23">
        <v>6960</v>
      </c>
      <c r="I29" s="63">
        <v>-1.1399999999999999</v>
      </c>
      <c r="J29" s="23">
        <v>5270</v>
      </c>
      <c r="K29" s="63">
        <v>-1.64</v>
      </c>
      <c r="L29" s="119" t="s">
        <v>91</v>
      </c>
      <c r="M29" s="130" t="s">
        <v>92</v>
      </c>
      <c r="N29" s="23">
        <v>10020</v>
      </c>
      <c r="O29" s="63">
        <v>-7.49</v>
      </c>
      <c r="P29" s="23">
        <v>5791</v>
      </c>
      <c r="Q29" s="63">
        <v>-2.0099999999999998</v>
      </c>
    </row>
    <row r="30" spans="1:17" s="72" customFormat="1" ht="12" customHeight="1" x14ac:dyDescent="0.4">
      <c r="A30" s="20" t="s">
        <v>33</v>
      </c>
      <c r="B30" s="118" t="s">
        <v>91</v>
      </c>
      <c r="C30" s="131" t="s">
        <v>92</v>
      </c>
      <c r="D30" s="21">
        <v>7533</v>
      </c>
      <c r="E30" s="61">
        <v>-34.619999999999997</v>
      </c>
      <c r="F30" s="21">
        <v>8368</v>
      </c>
      <c r="G30" s="61">
        <v>-23.86</v>
      </c>
      <c r="H30" s="118" t="s">
        <v>91</v>
      </c>
      <c r="I30" s="131" t="s">
        <v>92</v>
      </c>
      <c r="J30" s="21">
        <v>7512</v>
      </c>
      <c r="K30" s="116">
        <v>-22.59</v>
      </c>
      <c r="L30" s="21">
        <v>9163</v>
      </c>
      <c r="M30" s="61">
        <v>-7.37</v>
      </c>
      <c r="N30" s="21">
        <v>6413</v>
      </c>
      <c r="O30" s="61">
        <v>-30.65</v>
      </c>
      <c r="P30" s="21">
        <v>7759</v>
      </c>
      <c r="Q30" s="61">
        <v>-17.71</v>
      </c>
    </row>
    <row r="31" spans="1:17" s="72" customFormat="1" ht="12" customHeight="1" x14ac:dyDescent="0.4">
      <c r="A31" s="22" t="s">
        <v>34</v>
      </c>
      <c r="B31" s="23">
        <v>3949</v>
      </c>
      <c r="C31" s="63">
        <v>4.33</v>
      </c>
      <c r="D31" s="23">
        <v>3165</v>
      </c>
      <c r="E31" s="63">
        <v>-0.5</v>
      </c>
      <c r="F31" s="23">
        <v>2672</v>
      </c>
      <c r="G31" s="63">
        <v>97.05</v>
      </c>
      <c r="H31" s="23">
        <v>3283</v>
      </c>
      <c r="I31" s="63">
        <v>7.78</v>
      </c>
      <c r="J31" s="23">
        <v>2713</v>
      </c>
      <c r="K31" s="63">
        <v>17.190000000000001</v>
      </c>
      <c r="L31" s="23">
        <v>3553</v>
      </c>
      <c r="M31" s="63">
        <v>57.07</v>
      </c>
      <c r="N31" s="23">
        <v>2807</v>
      </c>
      <c r="O31" s="63">
        <v>27.13</v>
      </c>
      <c r="P31" s="23">
        <v>2227</v>
      </c>
      <c r="Q31" s="63">
        <v>-6.23</v>
      </c>
    </row>
    <row r="32" spans="1:17" s="72" customFormat="1" ht="12" customHeight="1" x14ac:dyDescent="0.4">
      <c r="A32" s="20" t="s">
        <v>55</v>
      </c>
      <c r="B32" s="21">
        <v>1239</v>
      </c>
      <c r="C32" s="61">
        <v>-1.27</v>
      </c>
      <c r="D32" s="21">
        <v>1346</v>
      </c>
      <c r="E32" s="61">
        <v>32.35</v>
      </c>
      <c r="F32" s="21">
        <v>784</v>
      </c>
      <c r="G32" s="133">
        <v>-5.66</v>
      </c>
      <c r="H32" s="21">
        <v>1792</v>
      </c>
      <c r="I32" s="61">
        <v>-4.0199999999999996</v>
      </c>
      <c r="J32" s="21">
        <v>1352</v>
      </c>
      <c r="K32" s="61">
        <v>18.29</v>
      </c>
      <c r="L32" s="21">
        <v>1229</v>
      </c>
      <c r="M32" s="61">
        <v>-22.66</v>
      </c>
      <c r="N32" s="21">
        <v>1155</v>
      </c>
      <c r="O32" s="61">
        <v>-12.17</v>
      </c>
      <c r="P32" s="21">
        <v>1590</v>
      </c>
      <c r="Q32" s="61">
        <v>7.22</v>
      </c>
    </row>
    <row r="33" spans="1:17" s="72" customFormat="1" ht="12" customHeight="1" x14ac:dyDescent="0.4">
      <c r="A33" s="22" t="s">
        <v>35</v>
      </c>
      <c r="B33" s="23">
        <v>6103</v>
      </c>
      <c r="C33" s="63">
        <v>4.25</v>
      </c>
      <c r="D33" s="23">
        <v>4283</v>
      </c>
      <c r="E33" s="63">
        <v>2.56</v>
      </c>
      <c r="F33" s="23">
        <v>4593</v>
      </c>
      <c r="G33" s="63">
        <v>0.46</v>
      </c>
      <c r="H33" s="23">
        <v>5222</v>
      </c>
      <c r="I33" s="63">
        <v>-2.67</v>
      </c>
      <c r="J33" s="23">
        <v>3461</v>
      </c>
      <c r="K33" s="63">
        <v>-8.32</v>
      </c>
      <c r="L33" s="23">
        <v>5731</v>
      </c>
      <c r="M33" s="63">
        <v>5.39</v>
      </c>
      <c r="N33" s="23">
        <v>4051</v>
      </c>
      <c r="O33" s="63">
        <v>7.11</v>
      </c>
      <c r="P33" s="23">
        <v>4208</v>
      </c>
      <c r="Q33" s="63">
        <v>1.2</v>
      </c>
    </row>
    <row r="34" spans="1:17" s="72" customFormat="1" ht="12" customHeight="1" x14ac:dyDescent="0.4">
      <c r="A34" s="20" t="s">
        <v>36</v>
      </c>
      <c r="B34" s="21">
        <v>2714</v>
      </c>
      <c r="C34" s="61">
        <v>-14.76</v>
      </c>
      <c r="D34" s="21">
        <v>2597</v>
      </c>
      <c r="E34" s="61">
        <v>-15.82</v>
      </c>
      <c r="F34" s="21">
        <v>2399</v>
      </c>
      <c r="G34" s="61">
        <v>24.69</v>
      </c>
      <c r="H34" s="21">
        <v>3654</v>
      </c>
      <c r="I34" s="120">
        <v>5.79</v>
      </c>
      <c r="J34" s="21">
        <v>3113</v>
      </c>
      <c r="K34" s="61">
        <v>-4.3</v>
      </c>
      <c r="L34" s="21">
        <v>2802</v>
      </c>
      <c r="M34" s="61">
        <v>-7.13</v>
      </c>
      <c r="N34" s="21">
        <v>5392</v>
      </c>
      <c r="O34" s="61">
        <v>3.73</v>
      </c>
      <c r="P34" s="21">
        <v>3337</v>
      </c>
      <c r="Q34" s="116">
        <v>-5.12</v>
      </c>
    </row>
    <row r="35" spans="1:17" s="72" customFormat="1" ht="12" customHeight="1" x14ac:dyDescent="0.4">
      <c r="A35" s="22" t="s">
        <v>37</v>
      </c>
      <c r="B35" s="23">
        <v>3290</v>
      </c>
      <c r="C35" s="63">
        <v>9.19</v>
      </c>
      <c r="D35" s="23">
        <v>6267</v>
      </c>
      <c r="E35" s="30">
        <v>53.12</v>
      </c>
      <c r="F35" s="23">
        <v>4643</v>
      </c>
      <c r="G35" s="63">
        <v>60.21</v>
      </c>
      <c r="H35" s="23" t="s">
        <v>91</v>
      </c>
      <c r="I35" s="62" t="s">
        <v>92</v>
      </c>
      <c r="J35" s="23">
        <v>5955</v>
      </c>
      <c r="K35" s="63">
        <v>40.71</v>
      </c>
      <c r="L35" s="23">
        <v>3686</v>
      </c>
      <c r="M35" s="63">
        <v>37.380000000000003</v>
      </c>
      <c r="N35" s="23">
        <v>5727</v>
      </c>
      <c r="O35" s="63">
        <v>51.23</v>
      </c>
      <c r="P35" s="23">
        <v>6367</v>
      </c>
      <c r="Q35" s="63">
        <v>43.63</v>
      </c>
    </row>
    <row r="36" spans="1:17" s="72" customFormat="1" ht="12" customHeight="1" x14ac:dyDescent="0.4">
      <c r="A36" s="20" t="s">
        <v>51</v>
      </c>
      <c r="B36" s="122" t="s">
        <v>91</v>
      </c>
      <c r="C36" s="131" t="s">
        <v>92</v>
      </c>
      <c r="D36" s="21">
        <v>9401</v>
      </c>
      <c r="E36" s="61">
        <v>3.79</v>
      </c>
      <c r="F36" s="21">
        <v>8799</v>
      </c>
      <c r="G36" s="61">
        <v>2.86</v>
      </c>
      <c r="H36" s="21">
        <v>8610</v>
      </c>
      <c r="I36" s="116">
        <v>-2.0699999999999998</v>
      </c>
      <c r="J36" s="21">
        <v>8707</v>
      </c>
      <c r="K36" s="61">
        <v>2.73</v>
      </c>
      <c r="L36" s="21">
        <v>9401</v>
      </c>
      <c r="M36" s="61">
        <v>-0.94</v>
      </c>
      <c r="N36" s="21">
        <v>8716</v>
      </c>
      <c r="O36" s="61">
        <v>0.54</v>
      </c>
      <c r="P36" s="21">
        <v>8713</v>
      </c>
      <c r="Q36" s="61">
        <v>-0.53</v>
      </c>
    </row>
    <row r="37" spans="1:17" s="72" customFormat="1" ht="12" customHeight="1" x14ac:dyDescent="0.4">
      <c r="A37" s="22" t="s">
        <v>38</v>
      </c>
      <c r="B37" s="23">
        <v>4249</v>
      </c>
      <c r="C37" s="148">
        <v>-20.59</v>
      </c>
      <c r="D37" s="23">
        <v>4733</v>
      </c>
      <c r="E37" s="63">
        <v>6.94</v>
      </c>
      <c r="F37" s="23">
        <v>4149</v>
      </c>
      <c r="G37" s="63">
        <v>7.24</v>
      </c>
      <c r="H37" s="119" t="s">
        <v>91</v>
      </c>
      <c r="I37" s="130" t="s">
        <v>92</v>
      </c>
      <c r="J37" s="23">
        <v>3856</v>
      </c>
      <c r="K37" s="63">
        <v>-10.53</v>
      </c>
      <c r="L37" s="23">
        <v>4829</v>
      </c>
      <c r="M37" s="63">
        <v>17.52</v>
      </c>
      <c r="N37" s="23">
        <v>3102</v>
      </c>
      <c r="O37" s="63">
        <v>-18.97</v>
      </c>
      <c r="P37" s="23">
        <v>3777</v>
      </c>
      <c r="Q37" s="63">
        <v>-13.92</v>
      </c>
    </row>
    <row r="38" spans="1:17" s="72" customFormat="1" ht="12" customHeight="1" x14ac:dyDescent="0.4">
      <c r="A38" s="20" t="s">
        <v>39</v>
      </c>
      <c r="B38" s="21">
        <v>5359</v>
      </c>
      <c r="C38" s="61">
        <v>6.25</v>
      </c>
      <c r="D38" s="21">
        <v>4571</v>
      </c>
      <c r="E38" s="61">
        <v>24.31</v>
      </c>
      <c r="F38" s="21">
        <v>3739</v>
      </c>
      <c r="G38" s="61">
        <v>22.07</v>
      </c>
      <c r="H38" s="21">
        <v>4328</v>
      </c>
      <c r="I38" s="61">
        <v>16.78</v>
      </c>
      <c r="J38" s="21">
        <v>3404</v>
      </c>
      <c r="K38" s="61">
        <v>19.77</v>
      </c>
      <c r="L38" s="21">
        <v>4164</v>
      </c>
      <c r="M38" s="61">
        <v>23.89</v>
      </c>
      <c r="N38" s="21">
        <v>3126</v>
      </c>
      <c r="O38" s="61">
        <v>30.85</v>
      </c>
      <c r="P38" s="21">
        <v>4600</v>
      </c>
      <c r="Q38" s="61">
        <v>9.84</v>
      </c>
    </row>
    <row r="39" spans="1:17" s="72" customFormat="1" ht="12" customHeight="1" x14ac:dyDescent="0.4">
      <c r="A39" s="22" t="s">
        <v>57</v>
      </c>
      <c r="B39" s="23">
        <v>1578</v>
      </c>
      <c r="C39" s="30">
        <v>-0.82</v>
      </c>
      <c r="D39" s="23">
        <v>1512</v>
      </c>
      <c r="E39" s="63">
        <v>-2.33</v>
      </c>
      <c r="F39" s="23">
        <v>1048</v>
      </c>
      <c r="G39" s="63">
        <v>8.83</v>
      </c>
      <c r="H39" s="23">
        <v>1391</v>
      </c>
      <c r="I39" s="63">
        <v>-0.64</v>
      </c>
      <c r="J39" s="23">
        <v>1135</v>
      </c>
      <c r="K39" s="30">
        <v>9.66</v>
      </c>
      <c r="L39" s="23">
        <v>1240</v>
      </c>
      <c r="M39" s="30">
        <v>-2.82</v>
      </c>
      <c r="N39" s="23">
        <v>2019</v>
      </c>
      <c r="O39" s="63">
        <v>-4.22</v>
      </c>
      <c r="P39" s="23">
        <v>1465</v>
      </c>
      <c r="Q39" s="63">
        <v>-4.8099999999999996</v>
      </c>
    </row>
    <row r="40" spans="1:17" s="72" customFormat="1" ht="12" customHeight="1" x14ac:dyDescent="0.4">
      <c r="A40" s="20" t="s">
        <v>56</v>
      </c>
      <c r="B40" s="21">
        <v>2538</v>
      </c>
      <c r="C40" s="116">
        <v>3.55</v>
      </c>
      <c r="D40" s="21">
        <v>3225</v>
      </c>
      <c r="E40" s="61">
        <v>41.26</v>
      </c>
      <c r="F40" s="21">
        <v>3085</v>
      </c>
      <c r="G40" s="133">
        <v>7.08</v>
      </c>
      <c r="H40" s="21">
        <v>2538</v>
      </c>
      <c r="I40" s="61">
        <v>-0.16</v>
      </c>
      <c r="J40" s="21">
        <v>2760</v>
      </c>
      <c r="K40" s="61">
        <v>33.92</v>
      </c>
      <c r="L40" s="21">
        <v>2973</v>
      </c>
      <c r="M40" s="61">
        <v>18.54</v>
      </c>
      <c r="N40" s="21">
        <v>3670</v>
      </c>
      <c r="O40" s="61">
        <v>18.66</v>
      </c>
      <c r="P40" s="21">
        <v>2870</v>
      </c>
      <c r="Q40" s="61">
        <v>24.35</v>
      </c>
    </row>
    <row r="41" spans="1:17" s="72" customFormat="1" ht="12" customHeight="1" x14ac:dyDescent="0.4">
      <c r="A41" s="22" t="s">
        <v>40</v>
      </c>
      <c r="B41" s="23">
        <v>2680</v>
      </c>
      <c r="C41" s="63">
        <v>10.65</v>
      </c>
      <c r="D41" s="23">
        <v>2461</v>
      </c>
      <c r="E41" s="63">
        <v>45.02</v>
      </c>
      <c r="F41" s="23">
        <v>2332</v>
      </c>
      <c r="G41" s="63">
        <v>58.75</v>
      </c>
      <c r="H41" s="23">
        <v>2679</v>
      </c>
      <c r="I41" s="63">
        <v>16.989999999999998</v>
      </c>
      <c r="J41" s="23">
        <v>2270</v>
      </c>
      <c r="K41" s="63">
        <v>45.33</v>
      </c>
      <c r="L41" s="23">
        <v>2931</v>
      </c>
      <c r="M41" s="132">
        <v>19.239999999999998</v>
      </c>
      <c r="N41" s="23">
        <v>2739</v>
      </c>
      <c r="O41" s="63">
        <v>56.07</v>
      </c>
      <c r="P41" s="23">
        <v>2983</v>
      </c>
      <c r="Q41" s="63">
        <v>14.38</v>
      </c>
    </row>
    <row r="42" spans="1:17" s="72" customFormat="1" ht="12" customHeight="1" x14ac:dyDescent="0.4">
      <c r="A42" s="20" t="s">
        <v>41</v>
      </c>
      <c r="B42" s="21">
        <v>4467</v>
      </c>
      <c r="C42" s="61">
        <v>5.58</v>
      </c>
      <c r="D42" s="21">
        <v>4502</v>
      </c>
      <c r="E42" s="61">
        <v>24.43</v>
      </c>
      <c r="F42" s="21">
        <v>4500</v>
      </c>
      <c r="G42" s="61">
        <v>6.03</v>
      </c>
      <c r="H42" s="21">
        <v>4859</v>
      </c>
      <c r="I42" s="61">
        <v>6.46</v>
      </c>
      <c r="J42" s="21">
        <v>4248</v>
      </c>
      <c r="K42" s="61">
        <v>5.67</v>
      </c>
      <c r="L42" s="21">
        <v>4196</v>
      </c>
      <c r="M42" s="61">
        <v>17.93</v>
      </c>
      <c r="N42" s="21">
        <v>3854</v>
      </c>
      <c r="O42" s="61">
        <v>0.78</v>
      </c>
      <c r="P42" s="21">
        <v>4283</v>
      </c>
      <c r="Q42" s="61">
        <v>10.53</v>
      </c>
    </row>
    <row r="43" spans="1:17" s="72" customFormat="1" ht="12" customHeight="1" x14ac:dyDescent="0.4">
      <c r="A43" s="24" t="s">
        <v>64</v>
      </c>
      <c r="B43" s="123" t="s">
        <v>91</v>
      </c>
      <c r="C43" s="134" t="s">
        <v>92</v>
      </c>
      <c r="D43" s="25">
        <v>10288</v>
      </c>
      <c r="E43" s="64">
        <v>35.76</v>
      </c>
      <c r="F43" s="25">
        <v>11314</v>
      </c>
      <c r="G43" s="64">
        <v>40.72</v>
      </c>
      <c r="H43" s="25">
        <v>11218</v>
      </c>
      <c r="I43" s="64">
        <v>39.89</v>
      </c>
      <c r="J43" s="25">
        <v>11141</v>
      </c>
      <c r="K43" s="64">
        <v>44.61</v>
      </c>
      <c r="L43" s="123" t="s">
        <v>91</v>
      </c>
      <c r="M43" s="134" t="s">
        <v>92</v>
      </c>
      <c r="N43" s="25">
        <v>10688</v>
      </c>
      <c r="O43" s="64">
        <v>56.03</v>
      </c>
      <c r="P43" s="25">
        <v>10422</v>
      </c>
      <c r="Q43" s="64">
        <v>40.08</v>
      </c>
    </row>
    <row r="44" spans="1:17" s="72" customFormat="1" ht="12" customHeight="1" x14ac:dyDescent="0.4">
      <c r="A44" s="78" t="s">
        <v>42</v>
      </c>
      <c r="B44" s="146"/>
      <c r="C44" s="147"/>
      <c r="D44" s="146"/>
      <c r="E44" s="147"/>
      <c r="F44" s="146"/>
      <c r="G44" s="147"/>
      <c r="H44" s="146"/>
      <c r="I44" s="147"/>
      <c r="J44" s="146"/>
      <c r="K44" s="147"/>
      <c r="L44" s="146"/>
      <c r="M44" s="147"/>
      <c r="N44" s="146"/>
      <c r="O44" s="147"/>
      <c r="P44" s="146"/>
      <c r="Q44" s="147"/>
    </row>
    <row r="45" spans="1:17" s="72" customFormat="1" ht="12" customHeight="1" x14ac:dyDescent="0.4">
      <c r="A45" s="22" t="s">
        <v>43</v>
      </c>
      <c r="B45" s="119" t="s">
        <v>91</v>
      </c>
      <c r="C45" s="130" t="s">
        <v>92</v>
      </c>
      <c r="D45" s="23">
        <v>555</v>
      </c>
      <c r="E45" s="63">
        <v>5.31</v>
      </c>
      <c r="F45" s="23">
        <v>1328</v>
      </c>
      <c r="G45" s="63">
        <v>-12.98</v>
      </c>
      <c r="H45" s="119" t="s">
        <v>91</v>
      </c>
      <c r="I45" s="130" t="s">
        <v>92</v>
      </c>
      <c r="J45" s="23">
        <v>718</v>
      </c>
      <c r="K45" s="63">
        <v>-0.42</v>
      </c>
      <c r="L45" s="23">
        <v>1841</v>
      </c>
      <c r="M45" s="63">
        <v>-13.12</v>
      </c>
      <c r="N45" s="23">
        <v>1611</v>
      </c>
      <c r="O45" s="63">
        <v>-2.48</v>
      </c>
      <c r="P45" s="23">
        <v>1717</v>
      </c>
      <c r="Q45" s="63">
        <v>21.17</v>
      </c>
    </row>
    <row r="46" spans="1:17" s="72" customFormat="1" ht="12" customHeight="1" x14ac:dyDescent="0.4">
      <c r="A46" s="20" t="s">
        <v>44</v>
      </c>
      <c r="B46" s="21">
        <v>925</v>
      </c>
      <c r="C46" s="61">
        <v>-6.94</v>
      </c>
      <c r="D46" s="21">
        <v>1025</v>
      </c>
      <c r="E46" s="61">
        <v>-14.58</v>
      </c>
      <c r="F46" s="21">
        <v>1052</v>
      </c>
      <c r="G46" s="61">
        <v>-11.07</v>
      </c>
      <c r="H46" s="21">
        <v>833</v>
      </c>
      <c r="I46" s="61">
        <v>-4.25</v>
      </c>
      <c r="J46" s="21">
        <v>893</v>
      </c>
      <c r="K46" s="61">
        <v>7.85</v>
      </c>
      <c r="L46" s="21">
        <v>690</v>
      </c>
      <c r="M46" s="116">
        <v>-12.1</v>
      </c>
      <c r="N46" s="21">
        <v>1436</v>
      </c>
      <c r="O46" s="61">
        <v>-14.32</v>
      </c>
      <c r="P46" s="21">
        <v>1129</v>
      </c>
      <c r="Q46" s="61">
        <v>-1.48</v>
      </c>
    </row>
    <row r="47" spans="1:17" s="72" customFormat="1" ht="12" customHeight="1" x14ac:dyDescent="0.4">
      <c r="A47" s="22" t="s">
        <v>65</v>
      </c>
      <c r="B47" s="23">
        <v>2938</v>
      </c>
      <c r="C47" s="63">
        <v>6.64</v>
      </c>
      <c r="D47" s="23">
        <v>3244</v>
      </c>
      <c r="E47" s="63">
        <v>7.45</v>
      </c>
      <c r="F47" s="23">
        <v>2545</v>
      </c>
      <c r="G47" s="63">
        <v>13.31</v>
      </c>
      <c r="H47" s="23">
        <v>3339</v>
      </c>
      <c r="I47" s="63">
        <v>-0.6</v>
      </c>
      <c r="J47" s="23">
        <v>2753</v>
      </c>
      <c r="K47" s="63">
        <v>43.01</v>
      </c>
      <c r="L47" s="23">
        <v>1962</v>
      </c>
      <c r="M47" s="63">
        <v>5.65</v>
      </c>
      <c r="N47" s="23">
        <v>2800</v>
      </c>
      <c r="O47" s="63">
        <v>42.78</v>
      </c>
      <c r="P47" s="23">
        <v>2889</v>
      </c>
      <c r="Q47" s="63">
        <v>27.95</v>
      </c>
    </row>
    <row r="48" spans="1:17" s="72" customFormat="1" ht="12" customHeight="1" x14ac:dyDescent="0.4">
      <c r="A48" s="20" t="s">
        <v>45</v>
      </c>
      <c r="B48" s="21">
        <v>2008</v>
      </c>
      <c r="C48" s="61">
        <v>13</v>
      </c>
      <c r="D48" s="21">
        <v>2946</v>
      </c>
      <c r="E48" s="61">
        <v>4.28</v>
      </c>
      <c r="F48" s="21">
        <v>3293</v>
      </c>
      <c r="G48" s="61">
        <v>9.4700000000000006</v>
      </c>
      <c r="H48" s="21">
        <v>2190</v>
      </c>
      <c r="I48" s="61">
        <v>18.829999999999998</v>
      </c>
      <c r="J48" s="21">
        <v>2095</v>
      </c>
      <c r="K48" s="61">
        <v>-10.28</v>
      </c>
      <c r="L48" s="21">
        <v>3019</v>
      </c>
      <c r="M48" s="61">
        <v>15.67</v>
      </c>
      <c r="N48" s="21">
        <v>2005</v>
      </c>
      <c r="O48" s="61">
        <v>-4.8</v>
      </c>
      <c r="P48" s="21">
        <v>1763</v>
      </c>
      <c r="Q48" s="61">
        <v>-12.77</v>
      </c>
    </row>
    <row r="49" spans="1:25" s="72" customFormat="1" ht="12" customHeight="1" x14ac:dyDescent="0.4">
      <c r="A49" s="24" t="s">
        <v>46</v>
      </c>
      <c r="B49" s="25">
        <v>1746</v>
      </c>
      <c r="C49" s="64">
        <v>29.81</v>
      </c>
      <c r="D49" s="25">
        <v>2827</v>
      </c>
      <c r="E49" s="64">
        <v>23.67</v>
      </c>
      <c r="F49" s="25">
        <v>2345</v>
      </c>
      <c r="G49" s="64">
        <v>20.440000000000001</v>
      </c>
      <c r="H49" s="25">
        <v>1652</v>
      </c>
      <c r="I49" s="64">
        <v>21.38</v>
      </c>
      <c r="J49" s="25">
        <v>1992</v>
      </c>
      <c r="K49" s="64">
        <v>23.04</v>
      </c>
      <c r="L49" s="25">
        <v>2291</v>
      </c>
      <c r="M49" s="64">
        <v>8.99</v>
      </c>
      <c r="N49" s="25">
        <v>2092</v>
      </c>
      <c r="O49" s="154" t="s">
        <v>92</v>
      </c>
      <c r="P49" s="25">
        <v>2152</v>
      </c>
      <c r="Q49" s="64">
        <v>13.08</v>
      </c>
    </row>
    <row r="50" spans="1:25" s="72" customFormat="1" ht="12" customHeight="1" x14ac:dyDescent="0.4">
      <c r="A50" s="78" t="s">
        <v>66</v>
      </c>
      <c r="B50" s="146"/>
      <c r="C50" s="147"/>
      <c r="D50" s="146"/>
      <c r="E50" s="147"/>
      <c r="F50" s="146"/>
      <c r="G50" s="147"/>
      <c r="H50" s="146"/>
      <c r="I50" s="147"/>
      <c r="J50" s="146"/>
      <c r="K50" s="147"/>
      <c r="L50" s="146"/>
      <c r="M50" s="147"/>
      <c r="N50" s="146"/>
      <c r="O50" s="147"/>
      <c r="P50" s="146"/>
      <c r="Q50" s="147"/>
    </row>
    <row r="51" spans="1:25" s="72" customFormat="1" ht="12" customHeight="1" x14ac:dyDescent="0.4">
      <c r="A51" s="15" t="s">
        <v>67</v>
      </c>
      <c r="B51" s="26">
        <v>3619</v>
      </c>
      <c r="C51" s="66">
        <v>0.3</v>
      </c>
      <c r="D51" s="26">
        <v>3280</v>
      </c>
      <c r="E51" s="66">
        <v>-0.97</v>
      </c>
      <c r="F51" s="26">
        <v>4036</v>
      </c>
      <c r="G51" s="66">
        <v>0.4</v>
      </c>
      <c r="H51" s="26">
        <v>3851</v>
      </c>
      <c r="I51" s="66">
        <v>0.18</v>
      </c>
      <c r="J51" s="26">
        <v>3808</v>
      </c>
      <c r="K51" s="66">
        <v>1.1200000000000001</v>
      </c>
      <c r="L51" s="26">
        <v>3806</v>
      </c>
      <c r="M51" s="66">
        <v>-0.42</v>
      </c>
      <c r="N51" s="26">
        <v>3826</v>
      </c>
      <c r="O51" s="66">
        <v>1.32</v>
      </c>
      <c r="P51" s="26">
        <v>4012</v>
      </c>
      <c r="Q51" s="66">
        <v>-1.06</v>
      </c>
    </row>
    <row r="52" spans="1:25" s="72" customFormat="1" ht="12" customHeight="1" x14ac:dyDescent="0.4">
      <c r="A52" s="27" t="s">
        <v>68</v>
      </c>
      <c r="B52" s="124" t="s">
        <v>91</v>
      </c>
      <c r="C52" s="135" t="s">
        <v>92</v>
      </c>
      <c r="D52" s="28">
        <v>3690</v>
      </c>
      <c r="E52" s="65">
        <v>-5.58</v>
      </c>
      <c r="F52" s="28">
        <v>3951</v>
      </c>
      <c r="G52" s="65">
        <v>-11.11</v>
      </c>
      <c r="H52" s="28">
        <v>4530</v>
      </c>
      <c r="I52" s="65">
        <v>-0.56999999999999995</v>
      </c>
      <c r="J52" s="28">
        <v>4593</v>
      </c>
      <c r="K52" s="65">
        <v>-1.01</v>
      </c>
      <c r="L52" s="28">
        <v>3708</v>
      </c>
      <c r="M52" s="65">
        <v>-2.16</v>
      </c>
      <c r="N52" s="28">
        <v>4153</v>
      </c>
      <c r="O52" s="65">
        <v>-5.4</v>
      </c>
      <c r="P52" s="28">
        <v>4102</v>
      </c>
      <c r="Q52" s="65">
        <v>-0.19</v>
      </c>
    </row>
    <row r="53" spans="1:25" s="72" customFormat="1" ht="12" customHeight="1" x14ac:dyDescent="0.4">
      <c r="A53" s="15" t="s">
        <v>69</v>
      </c>
      <c r="B53" s="26">
        <v>9193</v>
      </c>
      <c r="C53" s="66">
        <v>-1.86</v>
      </c>
      <c r="D53" s="26">
        <v>10980</v>
      </c>
      <c r="E53" s="66">
        <v>3.75</v>
      </c>
      <c r="F53" s="26">
        <v>10276</v>
      </c>
      <c r="G53" s="66">
        <v>1.65</v>
      </c>
      <c r="H53" s="26">
        <v>9370</v>
      </c>
      <c r="I53" s="66">
        <v>-3.15</v>
      </c>
      <c r="J53" s="26">
        <v>8450</v>
      </c>
      <c r="K53" s="66">
        <v>-1.89</v>
      </c>
      <c r="L53" s="26">
        <v>9233</v>
      </c>
      <c r="M53" s="66">
        <v>-1.86</v>
      </c>
      <c r="N53" s="26">
        <v>11345</v>
      </c>
      <c r="O53" s="66">
        <v>-2.31</v>
      </c>
      <c r="P53" s="26">
        <v>11866</v>
      </c>
      <c r="Q53" s="66">
        <v>4.3600000000000003</v>
      </c>
    </row>
    <row r="54" spans="1:25" s="72" customFormat="1" ht="12" customHeight="1" x14ac:dyDescent="0.4">
      <c r="A54" s="27" t="s">
        <v>70</v>
      </c>
      <c r="B54" s="124" t="s">
        <v>91</v>
      </c>
      <c r="C54" s="135" t="s">
        <v>92</v>
      </c>
      <c r="D54" s="28">
        <v>9260</v>
      </c>
      <c r="E54" s="65">
        <v>0.73</v>
      </c>
      <c r="F54" s="28">
        <v>6341</v>
      </c>
      <c r="G54" s="65">
        <v>-0.86</v>
      </c>
      <c r="H54" s="124" t="s">
        <v>91</v>
      </c>
      <c r="I54" s="135" t="s">
        <v>92</v>
      </c>
      <c r="J54" s="124" t="s">
        <v>91</v>
      </c>
      <c r="K54" s="135" t="s">
        <v>92</v>
      </c>
      <c r="L54" s="28">
        <v>6571</v>
      </c>
      <c r="M54" s="65">
        <v>3.07</v>
      </c>
      <c r="N54" s="28">
        <v>5930</v>
      </c>
      <c r="O54" s="65">
        <v>-1.85</v>
      </c>
      <c r="P54" s="28">
        <v>6555</v>
      </c>
      <c r="Q54" s="65">
        <v>0</v>
      </c>
    </row>
    <row r="55" spans="1:25" s="72" customFormat="1" ht="12" customHeight="1" x14ac:dyDescent="0.4">
      <c r="A55" s="15" t="s">
        <v>71</v>
      </c>
      <c r="B55" s="26">
        <v>6027</v>
      </c>
      <c r="C55" s="66">
        <v>-2.4</v>
      </c>
      <c r="D55" s="26">
        <v>6481</v>
      </c>
      <c r="E55" s="66">
        <v>-1.58</v>
      </c>
      <c r="F55" s="26">
        <v>7041</v>
      </c>
      <c r="G55" s="66">
        <v>-5.84</v>
      </c>
      <c r="H55" s="26">
        <v>6875</v>
      </c>
      <c r="I55" s="66">
        <v>-4.7699999999999996</v>
      </c>
      <c r="J55" s="26">
        <v>6483</v>
      </c>
      <c r="K55" s="66">
        <v>-7.74</v>
      </c>
      <c r="L55" s="26">
        <v>6242</v>
      </c>
      <c r="M55" s="66">
        <v>-1.31</v>
      </c>
      <c r="N55" s="26">
        <v>6599</v>
      </c>
      <c r="O55" s="66">
        <v>-2.31</v>
      </c>
      <c r="P55" s="26">
        <v>7440</v>
      </c>
      <c r="Q55" s="66">
        <v>0</v>
      </c>
    </row>
    <row r="56" spans="1:25" s="73" customFormat="1" ht="12" customHeight="1" x14ac:dyDescent="0.45">
      <c r="A56" s="27" t="s">
        <v>72</v>
      </c>
      <c r="B56" s="28">
        <v>2550</v>
      </c>
      <c r="C56" s="65">
        <v>0.83</v>
      </c>
      <c r="D56" s="28">
        <v>2292</v>
      </c>
      <c r="E56" s="65">
        <v>-1.08</v>
      </c>
      <c r="F56" s="124" t="s">
        <v>91</v>
      </c>
      <c r="G56" s="135" t="s">
        <v>92</v>
      </c>
      <c r="H56" s="28">
        <v>2812</v>
      </c>
      <c r="I56" s="65">
        <v>-1.1599999999999999</v>
      </c>
      <c r="J56" s="28">
        <v>2475</v>
      </c>
      <c r="K56" s="65">
        <v>3.13</v>
      </c>
      <c r="L56" s="28">
        <v>2632</v>
      </c>
      <c r="M56" s="65">
        <v>1.04</v>
      </c>
      <c r="N56" s="28">
        <v>2185</v>
      </c>
      <c r="O56" s="65">
        <v>-9.3000000000000007</v>
      </c>
      <c r="P56" s="28">
        <v>2876</v>
      </c>
      <c r="Q56" s="65">
        <v>-0.31</v>
      </c>
      <c r="R56" s="86"/>
      <c r="S56" s="63"/>
      <c r="T56" s="86"/>
      <c r="U56" s="63"/>
      <c r="V56" s="86"/>
      <c r="W56" s="62"/>
      <c r="X56" s="86"/>
      <c r="Y56" s="63"/>
    </row>
    <row r="57" spans="1:25" s="31" customFormat="1" ht="12" customHeight="1" x14ac:dyDescent="0.45">
      <c r="A57" s="15" t="s">
        <v>73</v>
      </c>
      <c r="B57" s="125" t="s">
        <v>91</v>
      </c>
      <c r="C57" s="60" t="s">
        <v>92</v>
      </c>
      <c r="D57" s="26">
        <v>439</v>
      </c>
      <c r="E57" s="66">
        <v>-5.18</v>
      </c>
      <c r="F57" s="26" t="s">
        <v>91</v>
      </c>
      <c r="G57" s="128" t="s">
        <v>92</v>
      </c>
      <c r="H57" s="26">
        <v>493</v>
      </c>
      <c r="I57" s="66">
        <v>-1.2</v>
      </c>
      <c r="J57" s="26">
        <v>503</v>
      </c>
      <c r="K57" s="66">
        <v>-0.2</v>
      </c>
      <c r="L57" s="26">
        <v>424</v>
      </c>
      <c r="M57" s="66">
        <v>-7.22</v>
      </c>
      <c r="N57" s="26">
        <v>480</v>
      </c>
      <c r="O57" s="66">
        <v>-0.41</v>
      </c>
      <c r="P57" s="26">
        <v>500</v>
      </c>
      <c r="Q57" s="66">
        <v>0</v>
      </c>
      <c r="S57" s="68"/>
      <c r="U57" s="68"/>
      <c r="W57" s="68"/>
      <c r="Y57" s="68"/>
    </row>
    <row r="58" spans="1:25" s="31" customFormat="1" ht="12" customHeight="1" x14ac:dyDescent="0.45">
      <c r="A58" s="27" t="s">
        <v>74</v>
      </c>
      <c r="B58" s="28">
        <v>17733</v>
      </c>
      <c r="C58" s="126">
        <v>0.85</v>
      </c>
      <c r="D58" s="28">
        <v>20990</v>
      </c>
      <c r="E58" s="65">
        <v>8.34</v>
      </c>
      <c r="F58" s="28">
        <v>21533</v>
      </c>
      <c r="G58" s="65">
        <v>1.73</v>
      </c>
      <c r="H58" s="28">
        <v>17025</v>
      </c>
      <c r="I58" s="126">
        <v>-2.54</v>
      </c>
      <c r="J58" s="28">
        <v>21167</v>
      </c>
      <c r="K58" s="65">
        <v>4.96</v>
      </c>
      <c r="L58" s="28">
        <v>23333</v>
      </c>
      <c r="M58" s="65">
        <v>-1.06</v>
      </c>
      <c r="N58" s="28">
        <v>26290</v>
      </c>
      <c r="O58" s="65">
        <v>-0.6</v>
      </c>
      <c r="P58" s="124" t="s">
        <v>91</v>
      </c>
      <c r="Q58" s="135" t="s">
        <v>92</v>
      </c>
      <c r="S58" s="68"/>
      <c r="U58" s="68"/>
      <c r="W58" s="68"/>
      <c r="Y58" s="68"/>
    </row>
    <row r="59" spans="1:25" s="31" customFormat="1" ht="12" customHeight="1" x14ac:dyDescent="0.45">
      <c r="A59" s="15" t="s">
        <v>94</v>
      </c>
      <c r="B59" s="26" t="s">
        <v>91</v>
      </c>
      <c r="C59" s="66" t="s">
        <v>92</v>
      </c>
      <c r="D59" s="26">
        <v>17925</v>
      </c>
      <c r="E59" s="66">
        <v>-2.95</v>
      </c>
      <c r="F59" s="125" t="s">
        <v>91</v>
      </c>
      <c r="G59" s="60" t="s">
        <v>92</v>
      </c>
      <c r="H59" s="26">
        <v>17825</v>
      </c>
      <c r="I59" s="127">
        <v>-1.1399999999999999</v>
      </c>
      <c r="J59" s="26">
        <v>25765</v>
      </c>
      <c r="K59" s="66">
        <v>0.99</v>
      </c>
      <c r="L59" s="26">
        <v>23333</v>
      </c>
      <c r="M59" s="128">
        <v>-0.71</v>
      </c>
      <c r="N59" s="26">
        <v>20690</v>
      </c>
      <c r="O59" s="66">
        <v>-3.83</v>
      </c>
      <c r="P59" s="26">
        <v>19900</v>
      </c>
      <c r="Q59" s="66">
        <v>-2.93</v>
      </c>
      <c r="S59" s="68"/>
      <c r="U59" s="68"/>
      <c r="W59" s="68"/>
      <c r="Y59" s="68"/>
    </row>
    <row r="60" spans="1:25" s="31" customFormat="1" ht="12" customHeight="1" x14ac:dyDescent="0.45">
      <c r="A60" s="27" t="s">
        <v>95</v>
      </c>
      <c r="B60" s="28">
        <v>29533</v>
      </c>
      <c r="C60" s="65">
        <v>-0.17</v>
      </c>
      <c r="D60" s="28">
        <v>35550</v>
      </c>
      <c r="E60" s="65">
        <v>0.55000000000000004</v>
      </c>
      <c r="F60" s="155">
        <v>65300</v>
      </c>
      <c r="G60" s="156">
        <v>0.95</v>
      </c>
      <c r="H60" s="28">
        <v>29550</v>
      </c>
      <c r="I60" s="65">
        <v>-3.11</v>
      </c>
      <c r="J60" s="28">
        <v>46595</v>
      </c>
      <c r="K60" s="129">
        <v>0.96</v>
      </c>
      <c r="L60" s="28">
        <v>33800</v>
      </c>
      <c r="M60" s="65">
        <v>0.9</v>
      </c>
      <c r="N60" s="28">
        <v>50295</v>
      </c>
      <c r="O60" s="65">
        <v>1.21</v>
      </c>
      <c r="P60" s="28">
        <v>35500</v>
      </c>
      <c r="Q60" s="65">
        <v>0</v>
      </c>
      <c r="S60" s="68"/>
      <c r="U60" s="68"/>
      <c r="W60" s="68"/>
      <c r="Y60" s="68"/>
    </row>
    <row r="61" spans="1:25" s="31" customFormat="1" ht="12" customHeight="1" x14ac:dyDescent="0.45">
      <c r="A61" s="15" t="s">
        <v>75</v>
      </c>
      <c r="B61" s="26">
        <v>11920</v>
      </c>
      <c r="C61" s="66">
        <v>-1.22</v>
      </c>
      <c r="D61" s="26">
        <v>18023</v>
      </c>
      <c r="E61" s="66">
        <v>2.15</v>
      </c>
      <c r="F61" s="26">
        <v>12065</v>
      </c>
      <c r="G61" s="66">
        <v>1.44</v>
      </c>
      <c r="H61" s="26">
        <v>11800</v>
      </c>
      <c r="I61" s="66">
        <v>-2.0699999999999998</v>
      </c>
      <c r="J61" s="26">
        <v>16270</v>
      </c>
      <c r="K61" s="66">
        <v>1.92</v>
      </c>
      <c r="L61" s="26">
        <v>12800</v>
      </c>
      <c r="M61" s="66">
        <v>-0.1</v>
      </c>
      <c r="N61" s="26">
        <v>19725</v>
      </c>
      <c r="O61" s="66">
        <v>-2.02</v>
      </c>
      <c r="P61" s="125" t="s">
        <v>91</v>
      </c>
      <c r="Q61" s="60" t="s">
        <v>92</v>
      </c>
      <c r="S61" s="68"/>
      <c r="U61" s="68"/>
      <c r="W61" s="68"/>
      <c r="Y61" s="68"/>
    </row>
    <row r="62" spans="1:25" s="31" customFormat="1" ht="12" customHeight="1" x14ac:dyDescent="0.45">
      <c r="A62" s="27" t="s">
        <v>76</v>
      </c>
      <c r="B62" s="28">
        <v>9083</v>
      </c>
      <c r="C62" s="65">
        <v>0.46</v>
      </c>
      <c r="D62" s="28">
        <v>8750</v>
      </c>
      <c r="E62" s="129">
        <v>4.4800000000000004</v>
      </c>
      <c r="F62" s="28" t="s">
        <v>91</v>
      </c>
      <c r="G62" s="136" t="s">
        <v>92</v>
      </c>
      <c r="H62" s="28">
        <v>8657</v>
      </c>
      <c r="I62" s="65">
        <v>-1.9</v>
      </c>
      <c r="J62" s="28">
        <v>12043</v>
      </c>
      <c r="K62" s="65">
        <v>0.09</v>
      </c>
      <c r="L62" s="139">
        <v>5743</v>
      </c>
      <c r="M62" s="157">
        <v>0.49</v>
      </c>
      <c r="N62" s="28">
        <v>8358</v>
      </c>
      <c r="O62" s="65">
        <v>0.05</v>
      </c>
      <c r="P62" s="28">
        <v>9674</v>
      </c>
      <c r="Q62" s="65">
        <v>-0.05</v>
      </c>
      <c r="S62" s="68"/>
      <c r="U62" s="68"/>
      <c r="W62" s="68"/>
      <c r="Y62" s="68"/>
    </row>
    <row r="63" spans="1:25" s="31" customFormat="1" ht="12" customHeight="1" x14ac:dyDescent="0.45">
      <c r="A63" s="15" t="s">
        <v>77</v>
      </c>
      <c r="B63" s="26">
        <v>3579</v>
      </c>
      <c r="C63" s="66">
        <v>0.08</v>
      </c>
      <c r="D63" s="26">
        <v>3678</v>
      </c>
      <c r="E63" s="66">
        <v>-6.27</v>
      </c>
      <c r="F63" s="26">
        <v>3581</v>
      </c>
      <c r="G63" s="66">
        <v>-6.87</v>
      </c>
      <c r="H63" s="26">
        <v>3401</v>
      </c>
      <c r="I63" s="66">
        <v>-6.15</v>
      </c>
      <c r="J63" s="26">
        <v>3658</v>
      </c>
      <c r="K63" s="66">
        <v>-3.23</v>
      </c>
      <c r="L63" s="125" t="s">
        <v>91</v>
      </c>
      <c r="M63" s="60" t="s">
        <v>92</v>
      </c>
      <c r="N63" s="26">
        <v>3556</v>
      </c>
      <c r="O63" s="66">
        <v>-0.89</v>
      </c>
      <c r="P63" s="125" t="s">
        <v>91</v>
      </c>
      <c r="Q63" s="60" t="s">
        <v>92</v>
      </c>
      <c r="S63" s="68"/>
      <c r="U63" s="68"/>
      <c r="W63" s="68"/>
      <c r="Y63" s="68"/>
    </row>
    <row r="64" spans="1:25" s="31" customFormat="1" ht="12" customHeight="1" x14ac:dyDescent="0.45">
      <c r="A64" s="27" t="s">
        <v>78</v>
      </c>
      <c r="B64" s="28">
        <v>45109</v>
      </c>
      <c r="C64" s="65">
        <v>0.84</v>
      </c>
      <c r="D64" s="28">
        <v>48145</v>
      </c>
      <c r="E64" s="65">
        <v>4.37</v>
      </c>
      <c r="F64" s="28" t="s">
        <v>91</v>
      </c>
      <c r="G64" s="65" t="s">
        <v>92</v>
      </c>
      <c r="H64" s="155">
        <v>52292</v>
      </c>
      <c r="I64" s="156">
        <v>-0.46</v>
      </c>
      <c r="J64" s="28">
        <v>49393</v>
      </c>
      <c r="K64" s="65">
        <v>8.2200000000000006</v>
      </c>
      <c r="L64" s="28">
        <v>48941</v>
      </c>
      <c r="M64" s="126">
        <v>-0.6</v>
      </c>
      <c r="N64" s="28">
        <v>46599</v>
      </c>
      <c r="O64" s="65">
        <v>9.52</v>
      </c>
      <c r="P64" s="28">
        <v>50740</v>
      </c>
      <c r="Q64" s="65">
        <v>0</v>
      </c>
      <c r="S64" s="68"/>
      <c r="U64" s="68"/>
      <c r="W64" s="68"/>
      <c r="Y64" s="68"/>
    </row>
    <row r="65" spans="1:25" s="31" customFormat="1" ht="12" customHeight="1" x14ac:dyDescent="0.45">
      <c r="A65" s="15" t="s">
        <v>79</v>
      </c>
      <c r="B65" s="26">
        <v>17286</v>
      </c>
      <c r="C65" s="66">
        <v>2.46</v>
      </c>
      <c r="D65" s="26">
        <v>17583</v>
      </c>
      <c r="E65" s="66">
        <v>0.42</v>
      </c>
      <c r="F65" s="26">
        <v>18424</v>
      </c>
      <c r="G65" s="66">
        <v>0.25</v>
      </c>
      <c r="H65" s="26">
        <v>15398</v>
      </c>
      <c r="I65" s="66">
        <v>0.68</v>
      </c>
      <c r="J65" s="26">
        <v>20843</v>
      </c>
      <c r="K65" s="66">
        <v>6</v>
      </c>
      <c r="L65" s="26">
        <v>18119</v>
      </c>
      <c r="M65" s="128">
        <v>0.61</v>
      </c>
      <c r="N65" s="26">
        <v>16293</v>
      </c>
      <c r="O65" s="66">
        <v>0.97</v>
      </c>
      <c r="P65" s="26">
        <v>14879</v>
      </c>
      <c r="Q65" s="66">
        <v>0</v>
      </c>
      <c r="S65" s="68"/>
      <c r="U65" s="68"/>
      <c r="W65" s="68"/>
      <c r="Y65" s="68"/>
    </row>
    <row r="66" spans="1:25" s="31" customFormat="1" ht="12" customHeight="1" x14ac:dyDescent="0.45">
      <c r="A66" s="27" t="s">
        <v>80</v>
      </c>
      <c r="B66" s="28">
        <v>2216</v>
      </c>
      <c r="C66" s="65">
        <v>-0.09</v>
      </c>
      <c r="D66" s="28">
        <v>2719</v>
      </c>
      <c r="E66" s="65">
        <v>-2.33</v>
      </c>
      <c r="F66" s="28">
        <v>3219</v>
      </c>
      <c r="G66" s="65">
        <v>-2.0699999999999998</v>
      </c>
      <c r="H66" s="28">
        <v>2394</v>
      </c>
      <c r="I66" s="65">
        <v>0.04</v>
      </c>
      <c r="J66" s="28">
        <v>4620</v>
      </c>
      <c r="K66" s="65">
        <v>-2.14</v>
      </c>
      <c r="L66" s="28">
        <v>3150</v>
      </c>
      <c r="M66" s="126">
        <v>-0.25</v>
      </c>
      <c r="N66" s="28">
        <v>3972</v>
      </c>
      <c r="O66" s="65">
        <v>1.46</v>
      </c>
      <c r="P66" s="28">
        <v>3742</v>
      </c>
      <c r="Q66" s="65">
        <v>0</v>
      </c>
      <c r="S66" s="68"/>
      <c r="U66" s="68"/>
      <c r="W66" s="68"/>
      <c r="Y66" s="68"/>
    </row>
    <row r="67" spans="1:25" s="31" customFormat="1" ht="12" customHeight="1" x14ac:dyDescent="0.45">
      <c r="A67" s="15" t="s">
        <v>81</v>
      </c>
      <c r="B67" s="26">
        <v>2766</v>
      </c>
      <c r="C67" s="66">
        <v>1.54</v>
      </c>
      <c r="D67" s="26">
        <v>4076</v>
      </c>
      <c r="E67" s="66">
        <v>0.12</v>
      </c>
      <c r="F67" s="26">
        <v>3022</v>
      </c>
      <c r="G67" s="66">
        <v>-4.6399999999999997</v>
      </c>
      <c r="H67" s="26">
        <v>3400</v>
      </c>
      <c r="I67" s="66">
        <v>-0.93</v>
      </c>
      <c r="J67" s="26">
        <v>4521</v>
      </c>
      <c r="K67" s="66">
        <v>-3.69</v>
      </c>
      <c r="L67" s="26">
        <v>2583</v>
      </c>
      <c r="M67" s="66">
        <v>0</v>
      </c>
      <c r="N67" s="125" t="s">
        <v>91</v>
      </c>
      <c r="O67" s="137" t="s">
        <v>92</v>
      </c>
      <c r="P67" s="26">
        <v>3904</v>
      </c>
      <c r="Q67" s="66">
        <v>0</v>
      </c>
      <c r="S67" s="68"/>
      <c r="U67" s="68"/>
      <c r="W67" s="68"/>
      <c r="Y67" s="68"/>
    </row>
    <row r="68" spans="1:25" s="31" customFormat="1" ht="12" customHeight="1" x14ac:dyDescent="0.45">
      <c r="A68" s="27" t="s">
        <v>82</v>
      </c>
      <c r="B68" s="28">
        <v>87891</v>
      </c>
      <c r="C68" s="65">
        <v>0.71</v>
      </c>
      <c r="D68" s="155">
        <v>84925</v>
      </c>
      <c r="E68" s="156">
        <v>-0.89</v>
      </c>
      <c r="F68" s="124" t="s">
        <v>91</v>
      </c>
      <c r="G68" s="136" t="s">
        <v>92</v>
      </c>
      <c r="H68" s="28">
        <v>81375</v>
      </c>
      <c r="I68" s="65">
        <v>-0.61</v>
      </c>
      <c r="J68" s="28">
        <v>91667</v>
      </c>
      <c r="K68" s="65">
        <v>-1.08</v>
      </c>
      <c r="L68" s="155">
        <v>70417</v>
      </c>
      <c r="M68" s="156">
        <v>1.44</v>
      </c>
      <c r="N68" s="28">
        <v>83600</v>
      </c>
      <c r="O68" s="65">
        <v>-1.47</v>
      </c>
      <c r="P68" s="124" t="s">
        <v>91</v>
      </c>
      <c r="Q68" s="136" t="s">
        <v>92</v>
      </c>
      <c r="S68" s="68"/>
      <c r="U68" s="68"/>
      <c r="W68" s="68"/>
      <c r="Y68" s="68"/>
    </row>
    <row r="69" spans="1:25" s="31" customFormat="1" ht="12" customHeight="1" x14ac:dyDescent="0.45">
      <c r="A69" s="15" t="s">
        <v>83</v>
      </c>
      <c r="B69" s="26">
        <v>39481</v>
      </c>
      <c r="C69" s="66">
        <v>0.71</v>
      </c>
      <c r="D69" s="26">
        <v>36613</v>
      </c>
      <c r="E69" s="66">
        <v>-0.14000000000000001</v>
      </c>
      <c r="F69" s="26">
        <v>39779</v>
      </c>
      <c r="G69" s="127">
        <v>-0.6</v>
      </c>
      <c r="H69" s="125" t="s">
        <v>91</v>
      </c>
      <c r="I69" s="137" t="s">
        <v>92</v>
      </c>
      <c r="J69" s="26">
        <v>26062</v>
      </c>
      <c r="K69" s="66">
        <v>-0.69</v>
      </c>
      <c r="L69" s="26">
        <v>37791</v>
      </c>
      <c r="M69" s="128">
        <v>-1.38</v>
      </c>
      <c r="N69" s="26">
        <v>32711</v>
      </c>
      <c r="O69" s="66">
        <v>1.19</v>
      </c>
      <c r="P69" s="26">
        <v>42565</v>
      </c>
      <c r="Q69" s="66">
        <v>0</v>
      </c>
      <c r="R69" s="140"/>
      <c r="S69" s="141"/>
      <c r="T69" s="140"/>
      <c r="U69" s="141"/>
      <c r="V69" s="140"/>
      <c r="W69" s="141"/>
      <c r="X69" s="140"/>
      <c r="Y69" s="141"/>
    </row>
    <row r="70" spans="1:25" s="31" customFormat="1" ht="12" customHeight="1" x14ac:dyDescent="0.45">
      <c r="A70" s="27" t="s">
        <v>84</v>
      </c>
      <c r="B70" s="28">
        <v>18842</v>
      </c>
      <c r="C70" s="129">
        <v>8.24</v>
      </c>
      <c r="D70" s="28">
        <v>15213</v>
      </c>
      <c r="E70" s="65">
        <v>1.47</v>
      </c>
      <c r="F70" s="28">
        <v>16943</v>
      </c>
      <c r="G70" s="65">
        <v>-0.51</v>
      </c>
      <c r="H70" s="124" t="s">
        <v>91</v>
      </c>
      <c r="I70" s="135" t="s">
        <v>92</v>
      </c>
      <c r="J70" s="28">
        <v>28300</v>
      </c>
      <c r="K70" s="65">
        <v>1.19</v>
      </c>
      <c r="L70" s="138">
        <v>19252</v>
      </c>
      <c r="M70" s="65">
        <v>1.22</v>
      </c>
      <c r="N70" s="28">
        <v>14670</v>
      </c>
      <c r="O70" s="65">
        <v>-3.7</v>
      </c>
      <c r="P70" s="158">
        <v>20880</v>
      </c>
      <c r="Q70" s="156">
        <v>50</v>
      </c>
      <c r="R70" s="140"/>
      <c r="S70" s="141"/>
      <c r="T70" s="140"/>
      <c r="U70" s="141"/>
      <c r="V70" s="140"/>
      <c r="W70" s="141"/>
      <c r="X70" s="140"/>
      <c r="Y70" s="141"/>
    </row>
    <row r="71" spans="1:25" s="31" customFormat="1" ht="12" customHeight="1" x14ac:dyDescent="0.45">
      <c r="A71" s="15" t="s">
        <v>85</v>
      </c>
      <c r="B71" s="26">
        <v>7453</v>
      </c>
      <c r="C71" s="128">
        <v>1.64</v>
      </c>
      <c r="D71" s="26">
        <v>5942</v>
      </c>
      <c r="E71" s="66">
        <v>0.69</v>
      </c>
      <c r="F71" s="26">
        <v>5564</v>
      </c>
      <c r="G71" s="66">
        <v>2.35</v>
      </c>
      <c r="H71" s="26">
        <v>5030</v>
      </c>
      <c r="I71" s="66">
        <v>-3.1</v>
      </c>
      <c r="J71" s="26">
        <v>7014</v>
      </c>
      <c r="K71" s="66">
        <v>0.6</v>
      </c>
      <c r="L71" s="26">
        <v>7188</v>
      </c>
      <c r="M71" s="128">
        <v>-0.47</v>
      </c>
      <c r="N71" s="26">
        <v>5584</v>
      </c>
      <c r="O71" s="66">
        <v>0.31</v>
      </c>
      <c r="P71" s="26">
        <v>5766</v>
      </c>
      <c r="Q71" s="66">
        <v>0.03</v>
      </c>
      <c r="R71" s="140"/>
      <c r="S71" s="141"/>
      <c r="T71" s="140"/>
      <c r="U71" s="141"/>
      <c r="V71" s="140"/>
      <c r="W71" s="141"/>
      <c r="X71" s="140"/>
      <c r="Y71" s="141"/>
    </row>
    <row r="72" spans="1:25" s="31" customFormat="1" ht="12" customHeight="1" x14ac:dyDescent="0.45">
      <c r="A72" s="27" t="s">
        <v>86</v>
      </c>
      <c r="B72" s="28">
        <v>5434</v>
      </c>
      <c r="C72" s="65">
        <v>0.24</v>
      </c>
      <c r="D72" s="28">
        <v>7350</v>
      </c>
      <c r="E72" s="65">
        <v>-1.65</v>
      </c>
      <c r="F72" s="28">
        <v>7091</v>
      </c>
      <c r="G72" s="65">
        <v>1.07</v>
      </c>
      <c r="H72" s="28">
        <v>6675</v>
      </c>
      <c r="I72" s="65">
        <v>0.75</v>
      </c>
      <c r="J72" s="28">
        <v>7396</v>
      </c>
      <c r="K72" s="65">
        <v>2.0099999999999998</v>
      </c>
      <c r="L72" s="28">
        <v>3076</v>
      </c>
      <c r="M72" s="65">
        <v>-2.0099999999999998</v>
      </c>
      <c r="N72" s="28">
        <v>7266</v>
      </c>
      <c r="O72" s="65">
        <v>-7.12</v>
      </c>
      <c r="P72" s="28">
        <v>6604</v>
      </c>
      <c r="Q72" s="65">
        <v>2.23</v>
      </c>
      <c r="R72" s="140"/>
      <c r="S72" s="141"/>
      <c r="T72" s="140"/>
      <c r="U72" s="141"/>
      <c r="V72" s="140"/>
      <c r="W72" s="141"/>
      <c r="X72" s="140"/>
      <c r="Y72" s="141"/>
    </row>
    <row r="73" spans="1:25" s="31" customFormat="1" ht="12" customHeight="1" x14ac:dyDescent="0.45">
      <c r="A73" s="15" t="s">
        <v>87</v>
      </c>
      <c r="B73" s="26">
        <v>2295</v>
      </c>
      <c r="C73" s="66">
        <v>0</v>
      </c>
      <c r="D73" s="26">
        <v>1726</v>
      </c>
      <c r="E73" s="66">
        <v>1.23</v>
      </c>
      <c r="F73" s="26">
        <v>2301</v>
      </c>
      <c r="G73" s="66">
        <v>1.41</v>
      </c>
      <c r="H73" s="26">
        <v>910</v>
      </c>
      <c r="I73" s="66">
        <v>-8.36</v>
      </c>
      <c r="J73" s="26">
        <v>2347</v>
      </c>
      <c r="K73" s="66">
        <v>3.53</v>
      </c>
      <c r="L73" s="26">
        <v>2175</v>
      </c>
      <c r="M73" s="66">
        <v>0.97</v>
      </c>
      <c r="N73" s="26">
        <v>2312</v>
      </c>
      <c r="O73" s="66">
        <v>-0.22</v>
      </c>
      <c r="P73" s="26">
        <v>1960</v>
      </c>
      <c r="Q73" s="66">
        <v>1.4</v>
      </c>
      <c r="R73" s="140"/>
      <c r="S73" s="141"/>
      <c r="T73" s="140"/>
      <c r="U73" s="141"/>
      <c r="V73" s="140"/>
      <c r="W73" s="141"/>
      <c r="X73" s="140"/>
      <c r="Y73" s="141"/>
    </row>
    <row r="74" spans="1:25" s="31" customFormat="1" ht="12" customHeight="1" x14ac:dyDescent="0.45">
      <c r="A74" s="27" t="s">
        <v>88</v>
      </c>
      <c r="B74" s="28">
        <v>18185</v>
      </c>
      <c r="C74" s="65">
        <v>-0.76</v>
      </c>
      <c r="D74" s="28">
        <v>19608</v>
      </c>
      <c r="E74" s="65">
        <v>-0.41</v>
      </c>
      <c r="F74" s="28">
        <v>17317</v>
      </c>
      <c r="G74" s="65">
        <v>-3.24</v>
      </c>
      <c r="H74" s="28">
        <v>20313</v>
      </c>
      <c r="I74" s="65">
        <v>-1.68</v>
      </c>
      <c r="J74" s="28">
        <v>23278</v>
      </c>
      <c r="K74" s="65">
        <v>0.66</v>
      </c>
      <c r="L74" s="28">
        <v>21424</v>
      </c>
      <c r="M74" s="65">
        <v>-0.08</v>
      </c>
      <c r="N74" s="28">
        <v>22555</v>
      </c>
      <c r="O74" s="65">
        <v>1.67</v>
      </c>
      <c r="P74" s="124" t="s">
        <v>91</v>
      </c>
      <c r="Q74" s="136" t="s">
        <v>92</v>
      </c>
      <c r="S74" s="68"/>
      <c r="U74" s="68"/>
      <c r="W74" s="68"/>
      <c r="Y74" s="68"/>
    </row>
    <row r="75" spans="1:25" x14ac:dyDescent="0.45">
      <c r="A75" s="142" t="s">
        <v>89</v>
      </c>
      <c r="B75" s="143">
        <v>13184</v>
      </c>
      <c r="C75" s="144">
        <v>2.6</v>
      </c>
      <c r="D75" s="143">
        <v>17047</v>
      </c>
      <c r="E75" s="145">
        <v>0.34</v>
      </c>
      <c r="F75" s="159">
        <v>17336</v>
      </c>
      <c r="G75" s="160" t="s">
        <v>92</v>
      </c>
      <c r="H75" s="143">
        <v>11219</v>
      </c>
      <c r="I75" s="144">
        <v>-0.7</v>
      </c>
      <c r="J75" s="143">
        <v>14910</v>
      </c>
      <c r="K75" s="144">
        <v>-0.86</v>
      </c>
      <c r="L75" s="143">
        <v>17475</v>
      </c>
      <c r="M75" s="144">
        <v>-0.33</v>
      </c>
      <c r="N75" s="161">
        <v>17126</v>
      </c>
      <c r="O75" s="162">
        <v>-1.78</v>
      </c>
      <c r="P75" s="143">
        <v>18023</v>
      </c>
      <c r="Q75" s="144">
        <v>-0.43</v>
      </c>
    </row>
    <row r="77" spans="1:25" s="31" customFormat="1" x14ac:dyDescent="0.45">
      <c r="A77" s="22" t="s">
        <v>12</v>
      </c>
      <c r="B77" s="32"/>
      <c r="C77" s="33"/>
      <c r="D77" s="32"/>
      <c r="E77" s="33"/>
      <c r="F77" s="32"/>
      <c r="G77" s="33"/>
      <c r="H77" s="32"/>
      <c r="I77" s="33"/>
      <c r="J77" s="32"/>
      <c r="K77" s="33"/>
      <c r="L77" s="32"/>
      <c r="M77" s="33"/>
      <c r="N77" s="32"/>
      <c r="O77" s="33"/>
      <c r="P77" s="32"/>
      <c r="Q77" s="33"/>
      <c r="R77" s="32"/>
      <c r="S77" s="33"/>
      <c r="T77" s="32"/>
      <c r="U77" s="33"/>
      <c r="V77" s="32"/>
      <c r="W77" s="33"/>
      <c r="X77" s="32"/>
      <c r="Y77" s="33"/>
    </row>
    <row r="78" spans="1:25" s="31" customFormat="1" x14ac:dyDescent="0.45">
      <c r="A78" s="34" t="s">
        <v>13</v>
      </c>
      <c r="B78" s="32"/>
      <c r="C78" s="33"/>
      <c r="D78" s="32"/>
      <c r="E78" s="33"/>
      <c r="F78" s="32"/>
      <c r="G78" s="33"/>
      <c r="H78" s="32"/>
      <c r="I78" s="33"/>
      <c r="J78" s="32"/>
      <c r="K78" s="33"/>
      <c r="L78" s="32"/>
      <c r="M78" s="33"/>
      <c r="N78" s="32"/>
      <c r="O78" s="33"/>
      <c r="P78" s="32"/>
      <c r="Q78" s="33"/>
      <c r="R78" s="32"/>
      <c r="S78" s="33"/>
      <c r="T78" s="32"/>
      <c r="U78" s="33"/>
      <c r="V78" s="32"/>
      <c r="W78" s="33"/>
      <c r="X78" s="32"/>
      <c r="Y78" s="33"/>
    </row>
    <row r="79" spans="1:25" s="31" customFormat="1" ht="19.5" customHeight="1" x14ac:dyDescent="0.45">
      <c r="A79" s="176" t="s">
        <v>49</v>
      </c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</row>
    <row r="80" spans="1:25" s="31" customFormat="1" x14ac:dyDescent="0.45">
      <c r="A80" s="22" t="s">
        <v>14</v>
      </c>
      <c r="B80" s="35"/>
      <c r="C80" s="36"/>
      <c r="D80" s="37"/>
      <c r="E80" s="36"/>
      <c r="F80" s="37"/>
      <c r="G80" s="36"/>
      <c r="H80" s="38"/>
      <c r="I80" s="36"/>
      <c r="J80" s="35"/>
      <c r="K80" s="36"/>
      <c r="L80" s="37"/>
      <c r="M80" s="36"/>
      <c r="N80" s="37"/>
      <c r="O80" s="36"/>
      <c r="P80" s="38"/>
      <c r="Q80" s="36"/>
      <c r="R80" s="37"/>
      <c r="S80" s="39"/>
      <c r="T80" s="37"/>
      <c r="U80" s="39"/>
      <c r="V80" s="37"/>
      <c r="W80" s="39"/>
      <c r="X80" s="37"/>
      <c r="Y80" s="39"/>
    </row>
    <row r="81" spans="1:25" s="31" customFormat="1" x14ac:dyDescent="0.45">
      <c r="A81" s="40" t="s">
        <v>15</v>
      </c>
      <c r="B81" s="32"/>
      <c r="C81" s="33"/>
      <c r="D81" s="32"/>
      <c r="E81" s="33"/>
      <c r="F81" s="32"/>
      <c r="G81" s="33"/>
      <c r="H81" s="32"/>
      <c r="I81" s="33"/>
      <c r="J81" s="32"/>
      <c r="K81" s="33"/>
      <c r="L81" s="32"/>
      <c r="M81" s="33"/>
      <c r="N81" s="32"/>
      <c r="O81" s="33"/>
      <c r="P81" s="32"/>
      <c r="Q81" s="33"/>
      <c r="R81" s="32"/>
      <c r="S81" s="33"/>
      <c r="T81" s="32"/>
      <c r="U81" s="33"/>
      <c r="V81" s="32"/>
      <c r="W81" s="33"/>
      <c r="X81" s="32"/>
      <c r="Y81" s="33"/>
    </row>
    <row r="83" spans="1:25" x14ac:dyDescent="0.45">
      <c r="A83" s="8" t="str">
        <f>+Índice!A14</f>
        <v>Fecha de actualización: 11 de agosto de 2025</v>
      </c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</row>
  </sheetData>
  <mergeCells count="11">
    <mergeCell ref="A79:Y79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hyperlinks>
    <hyperlink ref="S5" location="Índice!A1" display="Regresar al índice" xr:uid="{172CDF23-0751-4F6A-B5E0-48C27F080073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Y57"/>
  <sheetViews>
    <sheetView showGridLines="0" topLeftCell="A31" zoomScaleNormal="100" workbookViewId="0">
      <selection activeCell="A41" sqref="A41:I41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83" t="s">
        <v>0</v>
      </c>
      <c r="B4" s="183"/>
      <c r="C4" s="183"/>
      <c r="D4" s="183"/>
      <c r="E4" s="183"/>
      <c r="F4" s="183"/>
      <c r="G4" s="183"/>
      <c r="H4" s="183"/>
      <c r="I4" s="183"/>
    </row>
    <row r="5" spans="1:11" s="41" customFormat="1" ht="24" customHeight="1" x14ac:dyDescent="0.4">
      <c r="A5" s="183"/>
      <c r="B5" s="183"/>
      <c r="C5" s="183"/>
      <c r="D5" s="183"/>
      <c r="E5" s="183"/>
      <c r="F5" s="183"/>
      <c r="G5" s="183"/>
      <c r="H5" s="183"/>
      <c r="I5" s="183"/>
      <c r="K5" s="100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año corrido. "&amp;Índice!A7</f>
        <v>Variación año corrido. Julio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45" t="s">
        <v>2</v>
      </c>
      <c r="C9" s="45" t="s">
        <v>3</v>
      </c>
      <c r="D9" s="45" t="s">
        <v>4</v>
      </c>
      <c r="E9" s="46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101">
        <v>105.13966480446926</v>
      </c>
      <c r="C11" s="102">
        <v>69.654364381956626</v>
      </c>
      <c r="D11" s="102">
        <v>51.158106747230605</v>
      </c>
      <c r="E11" s="82" t="s">
        <v>92</v>
      </c>
      <c r="F11" s="102">
        <v>56.244963738920248</v>
      </c>
      <c r="G11" s="102">
        <v>36.370007007708423</v>
      </c>
      <c r="H11" s="102">
        <v>69.607843137254903</v>
      </c>
      <c r="I11" s="102">
        <v>66.212970376301044</v>
      </c>
    </row>
    <row r="12" spans="1:11" ht="14" customHeight="1" x14ac:dyDescent="0.45">
      <c r="A12" s="69" t="s">
        <v>19</v>
      </c>
      <c r="B12" s="103">
        <v>25.238933601609649</v>
      </c>
      <c r="C12" s="103">
        <v>44.488817891373799</v>
      </c>
      <c r="D12" s="103">
        <v>39.934497816593925</v>
      </c>
      <c r="E12" s="83" t="s">
        <v>92</v>
      </c>
      <c r="F12" s="103">
        <v>69.989979959919864</v>
      </c>
      <c r="G12" s="103">
        <v>34.442431230439752</v>
      </c>
      <c r="H12" s="103">
        <v>34.531360112755458</v>
      </c>
      <c r="I12" s="104">
        <v>34.043408360128602</v>
      </c>
    </row>
    <row r="13" spans="1:11" ht="14" customHeight="1" x14ac:dyDescent="0.45">
      <c r="A13" s="1" t="s">
        <v>20</v>
      </c>
      <c r="B13" s="102">
        <v>39.767216294859352</v>
      </c>
      <c r="C13" s="102">
        <v>50.22537025112679</v>
      </c>
      <c r="D13" s="102">
        <v>55.642023346303503</v>
      </c>
      <c r="E13" s="102">
        <v>43.797086891009563</v>
      </c>
      <c r="F13" s="102">
        <v>62.925969447708582</v>
      </c>
      <c r="G13" s="102">
        <v>51.380860629415515</v>
      </c>
      <c r="H13" s="102">
        <v>34.648648648648653</v>
      </c>
      <c r="I13" s="102">
        <v>33.627829928216443</v>
      </c>
    </row>
    <row r="14" spans="1:11" ht="14" customHeight="1" x14ac:dyDescent="0.45">
      <c r="A14" s="69" t="s">
        <v>21</v>
      </c>
      <c r="B14" s="105">
        <v>26.070686070686079</v>
      </c>
      <c r="C14" s="103">
        <v>119.95049504950495</v>
      </c>
      <c r="D14" s="103">
        <v>44.289855072463766</v>
      </c>
      <c r="E14" s="106">
        <v>22.94545454545456</v>
      </c>
      <c r="F14" s="104">
        <v>207.1105365223012</v>
      </c>
      <c r="G14" s="103">
        <v>66.990965948575436</v>
      </c>
      <c r="H14" s="103">
        <v>-1.7781796262809069</v>
      </c>
      <c r="I14" s="103">
        <v>68.338028169014066</v>
      </c>
    </row>
    <row r="15" spans="1:11" ht="14" customHeight="1" x14ac:dyDescent="0.45">
      <c r="A15" s="1" t="s">
        <v>22</v>
      </c>
      <c r="B15" s="82" t="s">
        <v>92</v>
      </c>
      <c r="C15" s="102">
        <v>-12.343358395989956</v>
      </c>
      <c r="D15" s="102">
        <v>7.3819742489270368</v>
      </c>
      <c r="E15" s="102">
        <v>11.23595505617978</v>
      </c>
      <c r="F15" s="102">
        <v>45.085662759242574</v>
      </c>
      <c r="G15" s="102">
        <v>9.3809827696234915</v>
      </c>
      <c r="H15" s="102">
        <v>-6.8236714975845487</v>
      </c>
      <c r="I15" s="84" t="s">
        <v>92</v>
      </c>
    </row>
    <row r="16" spans="1:11" ht="14" customHeight="1" x14ac:dyDescent="0.45">
      <c r="A16" s="69" t="s">
        <v>58</v>
      </c>
      <c r="B16" s="104">
        <v>12.592499686441737</v>
      </c>
      <c r="C16" s="103">
        <v>61.815227483751144</v>
      </c>
      <c r="D16" s="103">
        <v>16.257901390644758</v>
      </c>
      <c r="E16" s="81" t="s">
        <v>92</v>
      </c>
      <c r="F16" s="103">
        <v>-4.9417913993822893</v>
      </c>
      <c r="G16" s="103">
        <v>16.549648946840545</v>
      </c>
      <c r="H16" s="103">
        <v>-5.9755004481654161E-2</v>
      </c>
      <c r="I16" s="106">
        <v>2.2502250225022502</v>
      </c>
    </row>
    <row r="17" spans="1:9" ht="14" customHeight="1" x14ac:dyDescent="0.45">
      <c r="A17" s="1" t="s">
        <v>23</v>
      </c>
      <c r="B17" s="102">
        <v>-15.260323159784573</v>
      </c>
      <c r="C17" s="102">
        <v>127.47899159663874</v>
      </c>
      <c r="D17" s="102">
        <v>-1.5824710894704719</v>
      </c>
      <c r="E17" s="102">
        <v>-14.506565014824236</v>
      </c>
      <c r="F17" s="102">
        <v>120.62363238512037</v>
      </c>
      <c r="G17" s="102">
        <v>-12.688753662384478</v>
      </c>
      <c r="H17" s="102">
        <v>33.242400623538579</v>
      </c>
      <c r="I17" s="102">
        <v>98.217726396917143</v>
      </c>
    </row>
    <row r="18" spans="1:9" ht="14" customHeight="1" x14ac:dyDescent="0.45">
      <c r="A18" s="69" t="s">
        <v>24</v>
      </c>
      <c r="B18" s="103">
        <v>30.101465614430655</v>
      </c>
      <c r="C18" s="103">
        <v>50.044326241134776</v>
      </c>
      <c r="D18" s="103">
        <v>0.60790273556228236</v>
      </c>
      <c r="E18" s="103">
        <v>21.367521367521359</v>
      </c>
      <c r="F18" s="103">
        <v>62.459893048128336</v>
      </c>
      <c r="G18" s="103">
        <v>18.277219064276373</v>
      </c>
      <c r="H18" s="103">
        <v>17.835820895522403</v>
      </c>
      <c r="I18" s="103">
        <v>50.050150451354057</v>
      </c>
    </row>
    <row r="19" spans="1:9" ht="14" customHeight="1" x14ac:dyDescent="0.45">
      <c r="A19" s="1" t="s">
        <v>25</v>
      </c>
      <c r="B19" s="102">
        <v>17.391304347826075</v>
      </c>
      <c r="C19" s="102">
        <v>5.1310446659283748</v>
      </c>
      <c r="D19" s="102">
        <v>45.437262357414454</v>
      </c>
      <c r="E19" s="102">
        <v>11.752249867654797</v>
      </c>
      <c r="F19" s="102">
        <v>39.609756097560989</v>
      </c>
      <c r="G19" s="102">
        <v>1.9975786924939731</v>
      </c>
      <c r="H19" s="102">
        <v>34.841323430114748</v>
      </c>
      <c r="I19" s="102">
        <v>-2.4918032786885536</v>
      </c>
    </row>
    <row r="20" spans="1:9" ht="14" customHeight="1" x14ac:dyDescent="0.45">
      <c r="A20" s="69" t="s">
        <v>26</v>
      </c>
      <c r="B20" s="103">
        <v>-27.35638594534301</v>
      </c>
      <c r="C20" s="103">
        <v>-47.201410312913183</v>
      </c>
      <c r="D20" s="103">
        <v>-55.059669772764444</v>
      </c>
      <c r="E20" s="103">
        <v>-39.760499826449127</v>
      </c>
      <c r="F20" s="103">
        <v>-18.254790264111875</v>
      </c>
      <c r="G20" s="103">
        <v>-51.020087884494657</v>
      </c>
      <c r="H20" s="103">
        <v>-46.404682274247477</v>
      </c>
      <c r="I20" s="103">
        <v>-49.953016350310101</v>
      </c>
    </row>
    <row r="21" spans="1:9" ht="14" customHeight="1" x14ac:dyDescent="0.45">
      <c r="A21" s="1" t="s">
        <v>27</v>
      </c>
      <c r="B21" s="102">
        <v>137.85147801009373</v>
      </c>
      <c r="C21" s="102">
        <v>256.51685393258424</v>
      </c>
      <c r="D21" s="102">
        <v>153.75909458367016</v>
      </c>
      <c r="E21" s="102">
        <v>141.55663655316192</v>
      </c>
      <c r="F21" s="102">
        <v>229.23809523809518</v>
      </c>
      <c r="G21" s="102">
        <v>127.25988700564974</v>
      </c>
      <c r="H21" s="102">
        <v>143.37448559670784</v>
      </c>
      <c r="I21" s="107">
        <v>175.77426015141086</v>
      </c>
    </row>
    <row r="22" spans="1:9" ht="14" customHeight="1" x14ac:dyDescent="0.45">
      <c r="A22" s="69" t="s">
        <v>28</v>
      </c>
      <c r="B22" s="103">
        <v>29.264870931537601</v>
      </c>
      <c r="C22" s="103">
        <v>52.019543973941332</v>
      </c>
      <c r="D22" s="103">
        <v>27.07615167659041</v>
      </c>
      <c r="E22" s="104">
        <v>28.047404063205427</v>
      </c>
      <c r="F22" s="104">
        <v>57.288258814976366</v>
      </c>
      <c r="G22" s="104">
        <v>33.013001695873399</v>
      </c>
      <c r="H22" s="103">
        <v>38.318052481821098</v>
      </c>
      <c r="I22" s="103">
        <v>53.633333333333354</v>
      </c>
    </row>
    <row r="23" spans="1:9" ht="14" customHeight="1" x14ac:dyDescent="0.45">
      <c r="A23" s="71" t="s">
        <v>29</v>
      </c>
      <c r="B23" s="108">
        <v>26.330759853717979</v>
      </c>
      <c r="C23" s="109">
        <v>36.937256292095057</v>
      </c>
      <c r="D23" s="109">
        <v>34.574468085106403</v>
      </c>
      <c r="E23" s="109">
        <v>27.108201771274576</v>
      </c>
      <c r="F23" s="109">
        <v>47.435897435897445</v>
      </c>
      <c r="G23" s="109">
        <v>61.221294363256781</v>
      </c>
      <c r="H23" s="109">
        <v>11.188811188811165</v>
      </c>
      <c r="I23" s="110">
        <v>49.560702875399357</v>
      </c>
    </row>
    <row r="24" spans="1:9" ht="14" customHeight="1" x14ac:dyDescent="0.45">
      <c r="A24" s="48" t="s">
        <v>30</v>
      </c>
      <c r="B24" s="48"/>
      <c r="C24" s="48"/>
      <c r="D24" s="48"/>
      <c r="E24" s="48"/>
      <c r="F24" s="48"/>
      <c r="G24" s="48"/>
      <c r="H24" s="48"/>
      <c r="I24" s="48"/>
    </row>
    <row r="25" spans="1:9" ht="14" customHeight="1" x14ac:dyDescent="0.45">
      <c r="A25" s="1" t="s">
        <v>48</v>
      </c>
      <c r="B25" s="82" t="s">
        <v>92</v>
      </c>
      <c r="C25" s="102">
        <v>-21.892265193370164</v>
      </c>
      <c r="D25" s="101">
        <v>-25.70603999175427</v>
      </c>
      <c r="E25" s="115">
        <v>-24.325340855665267</v>
      </c>
      <c r="F25" s="101">
        <v>-14.745943385052707</v>
      </c>
      <c r="G25" s="84" t="s">
        <v>92</v>
      </c>
      <c r="H25" s="102">
        <v>-27.462340672074149</v>
      </c>
      <c r="I25" s="115">
        <v>-22.276315789473678</v>
      </c>
    </row>
    <row r="26" spans="1:9" ht="14" customHeight="1" x14ac:dyDescent="0.45">
      <c r="A26" s="69" t="s">
        <v>31</v>
      </c>
      <c r="B26" s="103">
        <v>13.184713375796164</v>
      </c>
      <c r="C26" s="103">
        <v>-16.754098360655757</v>
      </c>
      <c r="D26" s="103">
        <v>7.2807314595326744</v>
      </c>
      <c r="E26" s="83" t="s">
        <v>92</v>
      </c>
      <c r="F26" s="103">
        <v>-9.2746730083234077</v>
      </c>
      <c r="G26" s="103">
        <v>0.11638056444573941</v>
      </c>
      <c r="H26" s="103">
        <v>-23.153618906942384</v>
      </c>
      <c r="I26" s="103">
        <v>-1.3835877862595436</v>
      </c>
    </row>
    <row r="27" spans="1:9" ht="14" customHeight="1" x14ac:dyDescent="0.45">
      <c r="A27" s="1" t="s">
        <v>32</v>
      </c>
      <c r="B27" s="101">
        <v>-17.885101770444422</v>
      </c>
      <c r="C27" s="102">
        <v>-5.9049745689120581</v>
      </c>
      <c r="D27" s="82" t="s">
        <v>92</v>
      </c>
      <c r="E27" s="102">
        <v>-11.84293856871439</v>
      </c>
      <c r="F27" s="102">
        <v>-2.964463266433448</v>
      </c>
      <c r="G27" s="82" t="s">
        <v>92</v>
      </c>
      <c r="H27" s="102">
        <v>-20.57074910820451</v>
      </c>
      <c r="I27" s="101">
        <v>-24.112174026995138</v>
      </c>
    </row>
    <row r="28" spans="1:9" ht="14" customHeight="1" x14ac:dyDescent="0.45">
      <c r="A28" s="69" t="s">
        <v>33</v>
      </c>
      <c r="B28" s="83" t="s">
        <v>92</v>
      </c>
      <c r="C28" s="103">
        <v>-3.8912988007144933</v>
      </c>
      <c r="D28" s="103">
        <v>-2.6523964634713737</v>
      </c>
      <c r="E28" s="81" t="s">
        <v>92</v>
      </c>
      <c r="F28" s="104">
        <v>10.017574692442865</v>
      </c>
      <c r="G28" s="104">
        <v>7.7873191389248309</v>
      </c>
      <c r="H28" s="103">
        <v>-10.520440909725149</v>
      </c>
      <c r="I28" s="81" t="s">
        <v>92</v>
      </c>
    </row>
    <row r="29" spans="1:9" ht="14" customHeight="1" x14ac:dyDescent="0.45">
      <c r="A29" s="1" t="s">
        <v>34</v>
      </c>
      <c r="B29" s="102">
        <v>-8.226818498721844</v>
      </c>
      <c r="C29" s="102">
        <v>31.491483174075618</v>
      </c>
      <c r="D29" s="102">
        <v>-2.8010185522007958</v>
      </c>
      <c r="E29" s="102">
        <v>-12.007504690431547</v>
      </c>
      <c r="F29" s="101">
        <v>1.8775816748028751</v>
      </c>
      <c r="G29" s="102">
        <v>4.2852949809216279</v>
      </c>
      <c r="H29" s="102">
        <v>-6.7441860465116354</v>
      </c>
      <c r="I29" s="102">
        <v>-18.371837183718377</v>
      </c>
    </row>
    <row r="30" spans="1:9" ht="14" customHeight="1" x14ac:dyDescent="0.45">
      <c r="A30" s="69" t="s">
        <v>55</v>
      </c>
      <c r="B30" s="104">
        <v>-42.824180895246876</v>
      </c>
      <c r="C30" s="104">
        <v>-42.256542256542254</v>
      </c>
      <c r="D30" s="81" t="s">
        <v>92</v>
      </c>
      <c r="E30" s="103">
        <v>-34.286762009534286</v>
      </c>
      <c r="F30" s="104">
        <v>-8.9562289562289727</v>
      </c>
      <c r="G30" s="104">
        <v>-53.987270685136643</v>
      </c>
      <c r="H30" s="103">
        <v>-28.527227722772274</v>
      </c>
      <c r="I30" s="103">
        <v>-2.5234318673395872</v>
      </c>
    </row>
    <row r="31" spans="1:9" ht="14" customHeight="1" x14ac:dyDescent="0.45">
      <c r="A31" s="1" t="s">
        <v>35</v>
      </c>
      <c r="B31" s="102">
        <v>12.497695852534573</v>
      </c>
      <c r="C31" s="102">
        <v>-7.5744497194648153</v>
      </c>
      <c r="D31" s="102">
        <v>0.43734966105404283</v>
      </c>
      <c r="E31" s="102">
        <v>-12.646370023419218</v>
      </c>
      <c r="F31" s="102">
        <v>-16.015530211113806</v>
      </c>
      <c r="G31" s="102">
        <v>1.5054906128232348</v>
      </c>
      <c r="H31" s="102">
        <v>-0.90508806262231678</v>
      </c>
      <c r="I31" s="102">
        <v>-17.496807151979567</v>
      </c>
    </row>
    <row r="32" spans="1:9" ht="14" customHeight="1" x14ac:dyDescent="0.45">
      <c r="A32" s="69" t="s">
        <v>36</v>
      </c>
      <c r="B32" s="103">
        <v>1.6098839385997765</v>
      </c>
      <c r="C32" s="103">
        <v>-15.324421258558852</v>
      </c>
      <c r="D32" s="149">
        <v>3.4943917169974581</v>
      </c>
      <c r="E32" s="149">
        <v>32.679738562091501</v>
      </c>
      <c r="F32" s="104">
        <v>-10.494537090281774</v>
      </c>
      <c r="G32" s="103">
        <v>-1.3380281690140605</v>
      </c>
      <c r="H32" s="103">
        <v>163.53861192570872</v>
      </c>
      <c r="I32" s="149">
        <v>20.562523755226202</v>
      </c>
    </row>
    <row r="33" spans="1:25" ht="14" customHeight="1" x14ac:dyDescent="0.45">
      <c r="A33" s="1" t="s">
        <v>37</v>
      </c>
      <c r="B33" s="111">
        <v>15.519662921348321</v>
      </c>
      <c r="C33" s="111">
        <v>315.03311258278137</v>
      </c>
      <c r="D33" s="102">
        <v>196.4878671775223</v>
      </c>
      <c r="E33" s="84" t="s">
        <v>92</v>
      </c>
      <c r="F33" s="102">
        <v>222.7642276422765</v>
      </c>
      <c r="G33" s="115">
        <v>36.924219910846915</v>
      </c>
      <c r="H33" s="102">
        <v>396.70424978317442</v>
      </c>
      <c r="I33" s="111">
        <v>233.10633839706662</v>
      </c>
    </row>
    <row r="34" spans="1:25" ht="14" customHeight="1" x14ac:dyDescent="0.45">
      <c r="A34" s="69" t="s">
        <v>51</v>
      </c>
      <c r="B34" s="81" t="s">
        <v>92</v>
      </c>
      <c r="C34" s="103">
        <v>-2.8119507908611618</v>
      </c>
      <c r="D34" s="103">
        <v>0.36500513288466596</v>
      </c>
      <c r="E34" s="103">
        <v>-5.0507278341420552</v>
      </c>
      <c r="F34" s="103">
        <v>-0.70703615007413623</v>
      </c>
      <c r="G34" s="103">
        <v>2.0960034752389056</v>
      </c>
      <c r="H34" s="103">
        <v>-0.8080118356663224</v>
      </c>
      <c r="I34" s="103">
        <v>-1.3920325939339007</v>
      </c>
    </row>
    <row r="35" spans="1:25" ht="14" customHeight="1" x14ac:dyDescent="0.45">
      <c r="A35" s="1" t="s">
        <v>38</v>
      </c>
      <c r="B35" s="82" t="s">
        <v>92</v>
      </c>
      <c r="C35" s="102">
        <v>44.386821232458871</v>
      </c>
      <c r="D35" s="102">
        <v>22.137179864586408</v>
      </c>
      <c r="E35" s="82" t="s">
        <v>92</v>
      </c>
      <c r="F35" s="102">
        <v>12.060447544318521</v>
      </c>
      <c r="G35" s="102">
        <v>0.81419624217118347</v>
      </c>
      <c r="H35" s="102">
        <v>19.583654587509614</v>
      </c>
      <c r="I35" s="102">
        <v>-6.8391393442622679</v>
      </c>
    </row>
    <row r="36" spans="1:25" ht="14" customHeight="1" x14ac:dyDescent="0.45">
      <c r="A36" s="69" t="s">
        <v>39</v>
      </c>
      <c r="B36" s="103">
        <v>0.73308270676695209</v>
      </c>
      <c r="C36" s="103">
        <v>-19.877300613496949</v>
      </c>
      <c r="D36" s="103">
        <v>13.85505481120588</v>
      </c>
      <c r="E36" s="103">
        <v>0.25480657864258571</v>
      </c>
      <c r="F36" s="103">
        <v>-37.345849438615865</v>
      </c>
      <c r="G36" s="103">
        <v>41.873935264054516</v>
      </c>
      <c r="H36" s="103">
        <v>-9.3387470997679856</v>
      </c>
      <c r="I36" s="103">
        <v>-15.46877947557067</v>
      </c>
    </row>
    <row r="37" spans="1:25" ht="14" customHeight="1" x14ac:dyDescent="0.45">
      <c r="A37" s="1" t="s">
        <v>57</v>
      </c>
      <c r="B37" s="82" t="s">
        <v>92</v>
      </c>
      <c r="C37" s="102">
        <v>-24.134470647265449</v>
      </c>
      <c r="D37" s="102">
        <v>-12.154233025984917</v>
      </c>
      <c r="E37" s="82" t="s">
        <v>92</v>
      </c>
      <c r="F37" s="112">
        <v>-23.15504400812457</v>
      </c>
      <c r="G37" s="101">
        <v>-9.8181818181818379</v>
      </c>
      <c r="H37" s="102">
        <v>-9.5835199283475063</v>
      </c>
      <c r="I37" s="102">
        <v>-20.682187330806691</v>
      </c>
    </row>
    <row r="38" spans="1:25" ht="14" customHeight="1" x14ac:dyDescent="0.45">
      <c r="A38" s="69" t="s">
        <v>56</v>
      </c>
      <c r="B38" s="150" t="s">
        <v>92</v>
      </c>
      <c r="C38" s="104">
        <v>63.622526636225274</v>
      </c>
      <c r="D38" s="103">
        <v>44.428838951310865</v>
      </c>
      <c r="E38" s="104">
        <v>-7.3722627737226158</v>
      </c>
      <c r="F38" s="103">
        <v>38.623807132094456</v>
      </c>
      <c r="G38" s="103">
        <v>31.723526805494018</v>
      </c>
      <c r="H38" s="103">
        <v>18.044387262785499</v>
      </c>
      <c r="I38" s="103">
        <v>40.009675858732471</v>
      </c>
    </row>
    <row r="39" spans="1:25" ht="14" customHeight="1" x14ac:dyDescent="0.45">
      <c r="A39" s="1" t="s">
        <v>40</v>
      </c>
      <c r="B39" s="102">
        <v>-13.071683425235159</v>
      </c>
      <c r="C39" s="102">
        <v>-2.7654867256637128</v>
      </c>
      <c r="D39" s="102">
        <v>-3.7102473498233257</v>
      </c>
      <c r="E39" s="101">
        <v>-20.880094506792656</v>
      </c>
      <c r="F39" s="101">
        <v>-9.5257074531686197</v>
      </c>
      <c r="G39" s="82">
        <v>-12.45519713261649</v>
      </c>
      <c r="H39" s="101">
        <v>7.5382803297997514</v>
      </c>
      <c r="I39" s="101">
        <v>-16.879432624113488</v>
      </c>
    </row>
    <row r="40" spans="1:25" ht="14" customHeight="1" x14ac:dyDescent="0.45">
      <c r="A40" s="70" t="s">
        <v>41</v>
      </c>
      <c r="B40" s="113">
        <v>59.194583036350679</v>
      </c>
      <c r="C40" s="113">
        <v>61.709770114942543</v>
      </c>
      <c r="D40" s="113">
        <v>70.842824601366772</v>
      </c>
      <c r="E40" s="113">
        <v>75.288600288600293</v>
      </c>
      <c r="F40" s="113">
        <v>89.727556945064777</v>
      </c>
      <c r="G40" s="114">
        <v>17.305004193458217</v>
      </c>
      <c r="H40" s="113">
        <v>99.48240165631465</v>
      </c>
      <c r="I40" s="113">
        <v>66.935174530111311</v>
      </c>
    </row>
    <row r="41" spans="1:25" ht="14" customHeight="1" x14ac:dyDescent="0.45">
      <c r="A41" s="48" t="s">
        <v>42</v>
      </c>
      <c r="B41" s="48"/>
      <c r="C41" s="48"/>
      <c r="D41" s="48"/>
      <c r="E41" s="48"/>
      <c r="F41" s="48"/>
      <c r="G41" s="48"/>
      <c r="H41" s="48"/>
      <c r="I41" s="48"/>
    </row>
    <row r="42" spans="1:25" ht="14" customHeight="1" x14ac:dyDescent="0.45">
      <c r="A42" s="1" t="s">
        <v>43</v>
      </c>
      <c r="B42" s="84" t="s">
        <v>92</v>
      </c>
      <c r="C42" s="102">
        <v>-42.959917780061666</v>
      </c>
      <c r="D42" s="102">
        <v>-30.434782608695656</v>
      </c>
      <c r="E42" s="84" t="s">
        <v>92</v>
      </c>
      <c r="F42" s="102">
        <v>-17.566016073478764</v>
      </c>
      <c r="G42" s="102">
        <v>-26.477635782747612</v>
      </c>
      <c r="H42" s="102">
        <v>-49.561678146524727</v>
      </c>
      <c r="I42" s="101">
        <v>-15.663140764849482</v>
      </c>
    </row>
    <row r="43" spans="1:25" ht="14" customHeight="1" x14ac:dyDescent="0.45">
      <c r="A43" s="69" t="s">
        <v>44</v>
      </c>
      <c r="B43" s="103">
        <v>-32.333577176298476</v>
      </c>
      <c r="C43" s="103">
        <v>-42.928730512249423</v>
      </c>
      <c r="D43" s="103">
        <v>-31.90938511326862</v>
      </c>
      <c r="E43" s="103">
        <v>-39.462209302325576</v>
      </c>
      <c r="F43" s="103">
        <v>-47.869235259778151</v>
      </c>
      <c r="G43" s="104">
        <v>-21.801665404996239</v>
      </c>
      <c r="H43" s="103">
        <v>-38.867603235419324</v>
      </c>
      <c r="I43" s="149">
        <v>-42.615723732549604</v>
      </c>
    </row>
    <row r="44" spans="1:25" ht="14" customHeight="1" x14ac:dyDescent="0.45">
      <c r="A44" s="1" t="s">
        <v>52</v>
      </c>
      <c r="B44" s="82" t="s">
        <v>92</v>
      </c>
      <c r="C44" s="102">
        <v>-35.288250548573686</v>
      </c>
      <c r="D44" s="102">
        <v>2.4557165861514019</v>
      </c>
      <c r="E44" s="102">
        <v>-33.220000000000006</v>
      </c>
      <c r="F44" s="102">
        <v>-10.384114583333348</v>
      </c>
      <c r="G44" s="102">
        <v>-17.319848293299621</v>
      </c>
      <c r="H44" s="102">
        <v>40.280561122244542</v>
      </c>
      <c r="I44" s="102">
        <v>-17.265153691467994</v>
      </c>
    </row>
    <row r="45" spans="1:25" ht="14" customHeight="1" x14ac:dyDescent="0.45">
      <c r="A45" s="69" t="s">
        <v>45</v>
      </c>
      <c r="B45" s="103">
        <v>16.40579710144927</v>
      </c>
      <c r="C45" s="103">
        <v>9.1515376065209644</v>
      </c>
      <c r="D45" s="103">
        <v>-0.93261131167268196</v>
      </c>
      <c r="E45" s="103">
        <v>33.61805979255643</v>
      </c>
      <c r="F45" s="103">
        <v>-21.886651752423536</v>
      </c>
      <c r="G45" s="103">
        <v>-8.2649650562139136</v>
      </c>
      <c r="H45" s="103">
        <v>-29.426258359732493</v>
      </c>
      <c r="I45" s="103">
        <v>-28.048320120800284</v>
      </c>
    </row>
    <row r="46" spans="1:25" x14ac:dyDescent="0.45">
      <c r="A46" s="71" t="s">
        <v>46</v>
      </c>
      <c r="B46" s="109">
        <v>62.721342031686888</v>
      </c>
      <c r="C46" s="109">
        <v>51.989247311827967</v>
      </c>
      <c r="D46" s="109">
        <v>28.21213778020779</v>
      </c>
      <c r="E46" s="109">
        <v>62.278978388998098</v>
      </c>
      <c r="F46" s="109">
        <v>72.616984402079709</v>
      </c>
      <c r="G46" s="109">
        <v>27.136514983351855</v>
      </c>
      <c r="H46" s="109">
        <v>29.433962264150935</v>
      </c>
      <c r="I46" s="109">
        <v>83.025505716798548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6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54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11 de agosto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F7402EBD-9201-4A84-8AF0-7C5F9A3B5FC8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Y57"/>
  <sheetViews>
    <sheetView showGridLines="0" workbookViewId="0">
      <selection activeCell="A4" sqref="A4:I5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.5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83" t="s">
        <v>0</v>
      </c>
      <c r="B4" s="183"/>
      <c r="C4" s="183"/>
      <c r="D4" s="183"/>
      <c r="E4" s="183"/>
      <c r="F4" s="183"/>
      <c r="G4" s="183"/>
      <c r="H4" s="183"/>
      <c r="I4" s="183"/>
    </row>
    <row r="5" spans="1:11" s="41" customFormat="1" ht="27.75" customHeight="1" x14ac:dyDescent="0.4">
      <c r="A5" s="183"/>
      <c r="B5" s="183"/>
      <c r="C5" s="183"/>
      <c r="D5" s="183"/>
      <c r="E5" s="183"/>
      <c r="F5" s="183"/>
      <c r="G5" s="183"/>
      <c r="H5" s="183"/>
      <c r="I5" s="183"/>
      <c r="K5" s="100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anual. "&amp;Índice!A7</f>
        <v>Variación anual. Julio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58" t="s">
        <v>2</v>
      </c>
      <c r="C9" s="58" t="s">
        <v>3</v>
      </c>
      <c r="D9" s="58" t="s">
        <v>4</v>
      </c>
      <c r="E9" s="59" t="s">
        <v>5</v>
      </c>
      <c r="F9" s="58" t="s">
        <v>6</v>
      </c>
      <c r="G9" s="58" t="s">
        <v>7</v>
      </c>
      <c r="H9" s="58" t="s">
        <v>8</v>
      </c>
      <c r="I9" s="58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101">
        <v>5.4566341183228007</v>
      </c>
      <c r="C11" s="102">
        <v>55.61526061257387</v>
      </c>
      <c r="D11" s="102">
        <v>33.303730017761993</v>
      </c>
      <c r="E11" s="82" t="s">
        <v>92</v>
      </c>
      <c r="F11" s="102">
        <v>49.961330239752535</v>
      </c>
      <c r="G11" s="102">
        <v>21.246105919003067</v>
      </c>
      <c r="H11" s="102">
        <v>48.285714285714263</v>
      </c>
      <c r="I11" s="102">
        <v>48.710601719197719</v>
      </c>
    </row>
    <row r="12" spans="1:11" ht="14" customHeight="1" x14ac:dyDescent="0.45">
      <c r="A12" s="69" t="s">
        <v>19</v>
      </c>
      <c r="B12" s="103">
        <v>10.914355718899627</v>
      </c>
      <c r="C12" s="103">
        <v>18.370685424505172</v>
      </c>
      <c r="D12" s="103">
        <v>13.877043354655317</v>
      </c>
      <c r="E12" s="83" t="s">
        <v>92</v>
      </c>
      <c r="F12" s="103">
        <v>23.404255319148959</v>
      </c>
      <c r="G12" s="103">
        <v>-8.3333333333333819</v>
      </c>
      <c r="H12" s="103">
        <v>12.936304476434636</v>
      </c>
      <c r="I12" s="104">
        <v>12.327382957224643</v>
      </c>
    </row>
    <row r="13" spans="1:11" ht="14" customHeight="1" x14ac:dyDescent="0.45">
      <c r="A13" s="1" t="s">
        <v>20</v>
      </c>
      <c r="B13" s="102">
        <v>-31.883715433703617</v>
      </c>
      <c r="C13" s="102">
        <v>-28.763358778626003</v>
      </c>
      <c r="D13" s="102">
        <v>-32.489451476793263</v>
      </c>
      <c r="E13" s="102">
        <v>-29.133663366336638</v>
      </c>
      <c r="F13" s="102">
        <v>-28.860954335556709</v>
      </c>
      <c r="G13" s="102">
        <v>-34.96136865342163</v>
      </c>
      <c r="H13" s="102">
        <v>-26.367129766479469</v>
      </c>
      <c r="I13" s="102">
        <v>-27.588270496708546</v>
      </c>
    </row>
    <row r="14" spans="1:11" ht="14" customHeight="1" x14ac:dyDescent="0.45">
      <c r="A14" s="69" t="s">
        <v>21</v>
      </c>
      <c r="B14" s="105">
        <v>54.772843287391495</v>
      </c>
      <c r="C14" s="103">
        <v>85.744147157190724</v>
      </c>
      <c r="D14" s="103">
        <v>56.540880503144649</v>
      </c>
      <c r="E14" s="106">
        <v>34.219928543072633</v>
      </c>
      <c r="F14" s="104">
        <v>112.09821428571422</v>
      </c>
      <c r="G14" s="103">
        <v>63.580667120490176</v>
      </c>
      <c r="H14" s="103">
        <v>20.302694721299332</v>
      </c>
      <c r="I14" s="103">
        <v>32.037118868758284</v>
      </c>
    </row>
    <row r="15" spans="1:11" ht="14" customHeight="1" x14ac:dyDescent="0.45">
      <c r="A15" s="1" t="s">
        <v>22</v>
      </c>
      <c r="B15" s="82" t="s">
        <v>92</v>
      </c>
      <c r="C15" s="102">
        <v>-32.480694980694977</v>
      </c>
      <c r="D15" s="102">
        <v>-0.87163232963549664</v>
      </c>
      <c r="E15" s="102">
        <v>36.238532110091739</v>
      </c>
      <c r="F15" s="102">
        <v>79.77653631284916</v>
      </c>
      <c r="G15" s="102">
        <v>19.860139860139881</v>
      </c>
      <c r="H15" s="102">
        <v>4.1863605671843329</v>
      </c>
      <c r="I15" s="84" t="s">
        <v>92</v>
      </c>
    </row>
    <row r="16" spans="1:11" ht="14" customHeight="1" x14ac:dyDescent="0.45">
      <c r="A16" s="69" t="s">
        <v>58</v>
      </c>
      <c r="B16" s="104">
        <v>-0.1223854027592397</v>
      </c>
      <c r="C16" s="103">
        <v>15.605306799336649</v>
      </c>
      <c r="D16" s="103">
        <v>15.731185502139411</v>
      </c>
      <c r="E16" s="81" t="s">
        <v>92</v>
      </c>
      <c r="F16" s="103">
        <v>-2.6757479931890038</v>
      </c>
      <c r="G16" s="103">
        <v>8.2339791356184975</v>
      </c>
      <c r="H16" s="103">
        <v>-0.71237756010690267</v>
      </c>
      <c r="I16" s="106">
        <v>2.550214398555628</v>
      </c>
    </row>
    <row r="17" spans="1:9" ht="14" customHeight="1" x14ac:dyDescent="0.45">
      <c r="A17" s="1" t="s">
        <v>23</v>
      </c>
      <c r="B17" s="102">
        <v>75.709632387156802</v>
      </c>
      <c r="C17" s="102">
        <v>63.416842740718479</v>
      </c>
      <c r="D17" s="102">
        <v>96.715328467153313</v>
      </c>
      <c r="E17" s="102">
        <v>59.691455696202489</v>
      </c>
      <c r="F17" s="102">
        <v>39.164941338854376</v>
      </c>
      <c r="G17" s="102">
        <v>83.428030303030326</v>
      </c>
      <c r="H17" s="102">
        <v>111.57178217821775</v>
      </c>
      <c r="I17" s="102">
        <v>37.395659432387298</v>
      </c>
    </row>
    <row r="18" spans="1:9" ht="14" customHeight="1" x14ac:dyDescent="0.45">
      <c r="A18" s="69" t="s">
        <v>24</v>
      </c>
      <c r="B18" s="103">
        <v>14.031620553359669</v>
      </c>
      <c r="C18" s="103">
        <v>11.348684210526327</v>
      </c>
      <c r="D18" s="103">
        <v>36.615566037735789</v>
      </c>
      <c r="E18" s="103">
        <v>0.28248587570622874</v>
      </c>
      <c r="F18" s="103">
        <v>47.189922480620147</v>
      </c>
      <c r="G18" s="103">
        <v>35.92964824120606</v>
      </c>
      <c r="H18" s="103">
        <v>26.522435897435926</v>
      </c>
      <c r="I18" s="103">
        <v>13.161875945537105</v>
      </c>
    </row>
    <row r="19" spans="1:9" ht="14" customHeight="1" x14ac:dyDescent="0.45">
      <c r="A19" s="1" t="s">
        <v>25</v>
      </c>
      <c r="B19" s="102">
        <v>66.153846153846104</v>
      </c>
      <c r="C19" s="102">
        <v>50.687830687830669</v>
      </c>
      <c r="D19" s="102">
        <v>13.082039911308208</v>
      </c>
      <c r="E19" s="102">
        <v>61.391437308868426</v>
      </c>
      <c r="F19" s="102">
        <v>24.65156794425085</v>
      </c>
      <c r="G19" s="102">
        <v>77.181913774973737</v>
      </c>
      <c r="H19" s="102">
        <v>96.942800788954543</v>
      </c>
      <c r="I19" s="102">
        <v>50.964467005076088</v>
      </c>
    </row>
    <row r="20" spans="1:9" ht="14" customHeight="1" x14ac:dyDescent="0.45">
      <c r="A20" s="69" t="s">
        <v>26</v>
      </c>
      <c r="B20" s="103">
        <v>-27.417107829478972</v>
      </c>
      <c r="C20" s="103">
        <v>-41.284103904590751</v>
      </c>
      <c r="D20" s="103">
        <v>-50.325262016624507</v>
      </c>
      <c r="E20" s="103">
        <v>-42.77942631058356</v>
      </c>
      <c r="F20" s="103">
        <v>-21.330675305257905</v>
      </c>
      <c r="G20" s="103">
        <v>-47.404785979103458</v>
      </c>
      <c r="H20" s="103">
        <v>-50.129668049792507</v>
      </c>
      <c r="I20" s="103">
        <v>-41.395246478873247</v>
      </c>
    </row>
    <row r="21" spans="1:9" ht="14" customHeight="1" x14ac:dyDescent="0.45">
      <c r="A21" s="1" t="s">
        <v>27</v>
      </c>
      <c r="B21" s="102">
        <v>134.30397727272725</v>
      </c>
      <c r="C21" s="102">
        <v>173.06368330464718</v>
      </c>
      <c r="D21" s="102">
        <v>261.63594470046093</v>
      </c>
      <c r="E21" s="102">
        <v>141.05409153952846</v>
      </c>
      <c r="F21" s="102">
        <v>162.29135053110767</v>
      </c>
      <c r="G21" s="102">
        <v>117.57944557133202</v>
      </c>
      <c r="H21" s="102">
        <v>153.38474721508132</v>
      </c>
      <c r="I21" s="107">
        <v>180.40587823652908</v>
      </c>
    </row>
    <row r="22" spans="1:9" ht="14" customHeight="1" x14ac:dyDescent="0.45">
      <c r="A22" s="69" t="s">
        <v>28</v>
      </c>
      <c r="B22" s="103">
        <v>102.41652021089634</v>
      </c>
      <c r="C22" s="103">
        <v>101.94720900043262</v>
      </c>
      <c r="D22" s="103">
        <v>96.463178294573652</v>
      </c>
      <c r="E22" s="104">
        <v>87.134020618556733</v>
      </c>
      <c r="F22" s="104">
        <v>65.595101415996936</v>
      </c>
      <c r="G22" s="104">
        <v>131.48057058534189</v>
      </c>
      <c r="H22" s="103">
        <v>99.680511182108745</v>
      </c>
      <c r="I22" s="103">
        <v>82.606973058637109</v>
      </c>
    </row>
    <row r="23" spans="1:9" ht="14" customHeight="1" x14ac:dyDescent="0.45">
      <c r="A23" s="71" t="s">
        <v>29</v>
      </c>
      <c r="B23" s="108">
        <v>22.982594936708868</v>
      </c>
      <c r="C23" s="109">
        <v>9.3714609286523753</v>
      </c>
      <c r="D23" s="109">
        <v>38.320079522862848</v>
      </c>
      <c r="E23" s="109">
        <v>20.036363636363653</v>
      </c>
      <c r="F23" s="109">
        <v>37.131500496853256</v>
      </c>
      <c r="G23" s="109">
        <v>61.053180396246098</v>
      </c>
      <c r="H23" s="109">
        <v>102.66512166859786</v>
      </c>
      <c r="I23" s="110">
        <v>52.359641985353946</v>
      </c>
    </row>
    <row r="24" spans="1:9" ht="14" customHeight="1" x14ac:dyDescent="0.45">
      <c r="A24" s="48" t="s">
        <v>30</v>
      </c>
      <c r="B24" s="48"/>
      <c r="C24" s="48"/>
      <c r="D24" s="48"/>
      <c r="E24" s="48"/>
      <c r="F24" s="48"/>
      <c r="G24" s="48"/>
      <c r="H24" s="48"/>
      <c r="I24" s="48"/>
    </row>
    <row r="25" spans="1:9" ht="14" customHeight="1" x14ac:dyDescent="0.45">
      <c r="A25" s="1" t="s">
        <v>48</v>
      </c>
      <c r="B25" s="82" t="s">
        <v>92</v>
      </c>
      <c r="C25" s="102">
        <v>32.969432314410476</v>
      </c>
      <c r="D25" s="101">
        <v>11.908088806086026</v>
      </c>
      <c r="E25" s="82">
        <v>16.857848119645702</v>
      </c>
      <c r="F25" s="101">
        <v>49.95833333333335</v>
      </c>
      <c r="G25" s="84" t="s">
        <v>92</v>
      </c>
      <c r="H25" s="102">
        <v>20.590753424657549</v>
      </c>
      <c r="I25" s="115">
        <v>24.227129337539456</v>
      </c>
    </row>
    <row r="26" spans="1:9" ht="14" customHeight="1" x14ac:dyDescent="0.45">
      <c r="A26" s="69" t="s">
        <v>31</v>
      </c>
      <c r="B26" s="103">
        <v>-6.3257775434897301</v>
      </c>
      <c r="C26" s="103">
        <v>-9.6119615521538133</v>
      </c>
      <c r="D26" s="103">
        <v>-1.7978921264724335</v>
      </c>
      <c r="E26" s="83" t="s">
        <v>92</v>
      </c>
      <c r="F26" s="103">
        <v>4.7118023787740437</v>
      </c>
      <c r="G26" s="103">
        <v>2.8392109982068314</v>
      </c>
      <c r="H26" s="103">
        <v>-17.091633466135448</v>
      </c>
      <c r="I26" s="103">
        <v>2.9382470119521997</v>
      </c>
    </row>
    <row r="27" spans="1:9" ht="14" customHeight="1" x14ac:dyDescent="0.45">
      <c r="A27" s="1" t="s">
        <v>32</v>
      </c>
      <c r="B27" s="101">
        <v>-0.53975200583515903</v>
      </c>
      <c r="C27" s="102">
        <v>45.977675134719043</v>
      </c>
      <c r="D27" s="82" t="s">
        <v>92</v>
      </c>
      <c r="E27" s="102">
        <v>21.678321678321666</v>
      </c>
      <c r="F27" s="102">
        <v>38.03038239916183</v>
      </c>
      <c r="G27" s="82" t="s">
        <v>92</v>
      </c>
      <c r="H27" s="102">
        <v>43.061107938321008</v>
      </c>
      <c r="I27" s="101">
        <v>39.811685176243387</v>
      </c>
    </row>
    <row r="28" spans="1:9" ht="14" customHeight="1" x14ac:dyDescent="0.45">
      <c r="A28" s="69" t="s">
        <v>33</v>
      </c>
      <c r="B28" s="83" t="s">
        <v>92</v>
      </c>
      <c r="C28" s="103">
        <v>-30.641745695608158</v>
      </c>
      <c r="D28" s="103">
        <v>-25.498575498575484</v>
      </c>
      <c r="E28" s="81" t="s">
        <v>92</v>
      </c>
      <c r="F28" s="104">
        <v>-17.766830870279172</v>
      </c>
      <c r="G28" s="104">
        <v>13.389432000989942</v>
      </c>
      <c r="H28" s="103">
        <v>-28.330353151542255</v>
      </c>
      <c r="I28" s="81" t="s">
        <v>92</v>
      </c>
    </row>
    <row r="29" spans="1:9" ht="14" customHeight="1" x14ac:dyDescent="0.45">
      <c r="A29" s="1" t="s">
        <v>34</v>
      </c>
      <c r="B29" s="102">
        <v>-0.85362791865428722</v>
      </c>
      <c r="C29" s="102">
        <v>16.019061583577731</v>
      </c>
      <c r="D29" s="102">
        <v>-2.9069767441860406</v>
      </c>
      <c r="E29" s="102">
        <v>-6.5471107315684947</v>
      </c>
      <c r="F29" s="101">
        <v>0.48148148148150494</v>
      </c>
      <c r="G29" s="102">
        <v>23.36805555555561</v>
      </c>
      <c r="H29" s="102">
        <v>-4.0997608472839069</v>
      </c>
      <c r="I29" s="102">
        <v>-12.978889757623136</v>
      </c>
    </row>
    <row r="30" spans="1:9" ht="14" customHeight="1" x14ac:dyDescent="0.45">
      <c r="A30" s="69" t="s">
        <v>55</v>
      </c>
      <c r="B30" s="104">
        <v>14.935064935064911</v>
      </c>
      <c r="C30" s="104">
        <v>29.672447013487503</v>
      </c>
      <c r="D30" s="81" t="s">
        <v>92</v>
      </c>
      <c r="E30" s="103">
        <v>32.250922509225099</v>
      </c>
      <c r="F30" s="104">
        <v>40.540540540540484</v>
      </c>
      <c r="G30" s="104">
        <v>-15.006915629322259</v>
      </c>
      <c r="H30" s="103">
        <v>37.173396674584346</v>
      </c>
      <c r="I30" s="103">
        <v>23.809523809523792</v>
      </c>
    </row>
    <row r="31" spans="1:9" ht="14" customHeight="1" x14ac:dyDescent="0.45">
      <c r="A31" s="1" t="s">
        <v>35</v>
      </c>
      <c r="B31" s="102">
        <v>-22.115875446656432</v>
      </c>
      <c r="C31" s="102">
        <v>-17.044354057718369</v>
      </c>
      <c r="D31" s="102">
        <v>-24.79122318650726</v>
      </c>
      <c r="E31" s="102">
        <v>-28.6904274204561</v>
      </c>
      <c r="F31" s="102">
        <v>-28.239684843458434</v>
      </c>
      <c r="G31" s="102">
        <v>-21.589820768915036</v>
      </c>
      <c r="H31" s="102">
        <v>-30.287385992083994</v>
      </c>
      <c r="I31" s="102">
        <v>-27.361319340329835</v>
      </c>
    </row>
    <row r="32" spans="1:9" ht="14" customHeight="1" x14ac:dyDescent="0.45">
      <c r="A32" s="69" t="s">
        <v>36</v>
      </c>
      <c r="B32" s="103">
        <v>-16.001238006809039</v>
      </c>
      <c r="C32" s="103">
        <v>-5.9398768562115345</v>
      </c>
      <c r="D32" s="149">
        <v>-3.3830044301248141</v>
      </c>
      <c r="E32" s="149">
        <v>-2.5600000000000067</v>
      </c>
      <c r="F32" s="104">
        <v>25.020080321285086</v>
      </c>
      <c r="G32" s="103">
        <v>-13.197026022304803</v>
      </c>
      <c r="H32" s="103">
        <v>116.28559967910151</v>
      </c>
      <c r="I32" s="149">
        <v>66.947368421052715</v>
      </c>
    </row>
    <row r="33" spans="1:25" ht="14" customHeight="1" x14ac:dyDescent="0.45">
      <c r="A33" s="1" t="s">
        <v>37</v>
      </c>
      <c r="B33" s="111">
        <v>15.641476274165189</v>
      </c>
      <c r="C33" s="111">
        <v>125.91925018024509</v>
      </c>
      <c r="D33" s="102">
        <v>49.919276719405836</v>
      </c>
      <c r="E33" s="84" t="s">
        <v>92</v>
      </c>
      <c r="F33" s="102">
        <v>118.45194424064572</v>
      </c>
      <c r="G33" s="115">
        <v>24.653364896854878</v>
      </c>
      <c r="H33" s="102">
        <v>129.35522627152585</v>
      </c>
      <c r="I33" s="111">
        <v>91.882920941460554</v>
      </c>
    </row>
    <row r="34" spans="1:25" ht="14" customHeight="1" x14ac:dyDescent="0.45">
      <c r="A34" s="69" t="s">
        <v>51</v>
      </c>
      <c r="B34" s="81" t="s">
        <v>92</v>
      </c>
      <c r="C34" s="103">
        <v>1.2711407950015907</v>
      </c>
      <c r="D34" s="103">
        <v>5.9865092748734972</v>
      </c>
      <c r="E34" s="103">
        <v>-0.39333641832486332</v>
      </c>
      <c r="F34" s="103">
        <v>2.5680292142772787</v>
      </c>
      <c r="G34" s="103">
        <v>3.5922865013773952</v>
      </c>
      <c r="H34" s="103">
        <v>-2.7557737364721779</v>
      </c>
      <c r="I34" s="103">
        <v>4.0358208955223907</v>
      </c>
    </row>
    <row r="35" spans="1:25" ht="14" customHeight="1" x14ac:dyDescent="0.45">
      <c r="A35" s="1" t="s">
        <v>38</v>
      </c>
      <c r="B35" s="82" t="s">
        <v>92</v>
      </c>
      <c r="C35" s="102">
        <v>35.344581069488143</v>
      </c>
      <c r="D35" s="102">
        <v>31.75611305176249</v>
      </c>
      <c r="E35" s="82" t="s">
        <v>92</v>
      </c>
      <c r="F35" s="102">
        <v>14.796070259005688</v>
      </c>
      <c r="G35" s="102">
        <v>-0.63786008230453106</v>
      </c>
      <c r="H35" s="102">
        <v>8.2722513089004792</v>
      </c>
      <c r="I35" s="102">
        <v>4.4514646754739262</v>
      </c>
    </row>
    <row r="36" spans="1:25" ht="14" customHeight="1" x14ac:dyDescent="0.45">
      <c r="A36" s="69" t="s">
        <v>39</v>
      </c>
      <c r="B36" s="103">
        <v>-13.05970149253729</v>
      </c>
      <c r="C36" s="103">
        <v>-20.268620268620307</v>
      </c>
      <c r="D36" s="103">
        <v>-12.312382739212001</v>
      </c>
      <c r="E36" s="103">
        <v>-12.388663967611324</v>
      </c>
      <c r="F36" s="103">
        <v>-29.436152570480921</v>
      </c>
      <c r="G36" s="103">
        <v>-1.0456273764258617</v>
      </c>
      <c r="H36" s="103">
        <v>-28.302752293577992</v>
      </c>
      <c r="I36" s="103">
        <v>-11.337554412346663</v>
      </c>
    </row>
    <row r="37" spans="1:25" ht="14" customHeight="1" x14ac:dyDescent="0.45">
      <c r="A37" s="1" t="s">
        <v>57</v>
      </c>
      <c r="B37" s="82" t="s">
        <v>92</v>
      </c>
      <c r="C37" s="102">
        <v>-21.617418351477468</v>
      </c>
      <c r="D37" s="102">
        <v>-1.9644527595884087</v>
      </c>
      <c r="E37" s="82" t="s">
        <v>92</v>
      </c>
      <c r="F37" s="112">
        <v>-14.917541229385289</v>
      </c>
      <c r="G37" s="101">
        <v>-14.364640883977897</v>
      </c>
      <c r="H37" s="102">
        <v>-9.1359135913591345</v>
      </c>
      <c r="I37" s="102">
        <v>19.396903015484956</v>
      </c>
    </row>
    <row r="38" spans="1:25" ht="14" customHeight="1" x14ac:dyDescent="0.45">
      <c r="A38" s="69" t="s">
        <v>56</v>
      </c>
      <c r="B38" s="83" t="s">
        <v>92</v>
      </c>
      <c r="C38" s="104">
        <v>89.929328621908141</v>
      </c>
      <c r="D38" s="103">
        <v>64.270500532481378</v>
      </c>
      <c r="E38" s="104">
        <v>29.820971867007696</v>
      </c>
      <c r="F38" s="103">
        <v>53.333333333333364</v>
      </c>
      <c r="G38" s="103">
        <v>25.602027883396715</v>
      </c>
      <c r="H38" s="103">
        <v>38.49056603773586</v>
      </c>
      <c r="I38" s="103">
        <v>59.273527793065519</v>
      </c>
    </row>
    <row r="39" spans="1:25" ht="14" customHeight="1" x14ac:dyDescent="0.45">
      <c r="A39" s="1" t="s">
        <v>40</v>
      </c>
      <c r="B39" s="102">
        <v>-19.374247894103501</v>
      </c>
      <c r="C39" s="102">
        <v>-15.683453237410061</v>
      </c>
      <c r="D39" s="102">
        <v>-28.851174934725844</v>
      </c>
      <c r="E39" s="101">
        <v>-15.08716323296354</v>
      </c>
      <c r="F39" s="101">
        <v>-7.1194762684124839</v>
      </c>
      <c r="G39" s="82">
        <v>1.9832985386221358</v>
      </c>
      <c r="H39" s="101">
        <v>7.2015655577299276</v>
      </c>
      <c r="I39" s="101">
        <v>-21.762349799732995</v>
      </c>
    </row>
    <row r="40" spans="1:25" ht="14" customHeight="1" x14ac:dyDescent="0.45">
      <c r="A40" s="70" t="s">
        <v>41</v>
      </c>
      <c r="B40" s="113">
        <v>41.584786053882738</v>
      </c>
      <c r="C40" s="113">
        <v>34.107834375930921</v>
      </c>
      <c r="D40" s="113">
        <v>32.586918090748384</v>
      </c>
      <c r="E40" s="113">
        <v>44.31244431244432</v>
      </c>
      <c r="F40" s="113">
        <v>32.171748599875571</v>
      </c>
      <c r="G40" s="114">
        <v>-0.56872037914693641</v>
      </c>
      <c r="H40" s="113">
        <v>45.874337623012828</v>
      </c>
      <c r="I40" s="113">
        <v>35.365474339035828</v>
      </c>
    </row>
    <row r="41" spans="1:25" ht="14" customHeight="1" x14ac:dyDescent="0.45">
      <c r="A41" s="48" t="s">
        <v>42</v>
      </c>
      <c r="B41" s="48"/>
      <c r="C41" s="48"/>
      <c r="D41" s="48"/>
      <c r="E41" s="48"/>
      <c r="F41" s="48"/>
      <c r="G41" s="48"/>
      <c r="H41" s="48"/>
      <c r="I41" s="48"/>
    </row>
    <row r="42" spans="1:25" ht="14" customHeight="1" x14ac:dyDescent="0.45">
      <c r="A42" s="1" t="s">
        <v>43</v>
      </c>
      <c r="B42" s="84" t="s">
        <v>92</v>
      </c>
      <c r="C42" s="102">
        <v>-57.340507302075316</v>
      </c>
      <c r="D42" s="102">
        <v>-56.473287446738773</v>
      </c>
      <c r="E42" s="84" t="s">
        <v>92</v>
      </c>
      <c r="F42" s="102">
        <v>-44.0809968847352</v>
      </c>
      <c r="G42" s="102">
        <v>-44.764476447644753</v>
      </c>
      <c r="H42" s="102">
        <v>-15.121180189673344</v>
      </c>
      <c r="I42" s="101">
        <v>-9.9087353324641363</v>
      </c>
    </row>
    <row r="43" spans="1:25" ht="14" customHeight="1" x14ac:dyDescent="0.45">
      <c r="A43" s="69" t="s">
        <v>44</v>
      </c>
      <c r="B43" s="103">
        <v>-68.419255718675316</v>
      </c>
      <c r="C43" s="103">
        <v>-72.483221476510067</v>
      </c>
      <c r="D43" s="103">
        <v>-70.147559591373437</v>
      </c>
      <c r="E43" s="103">
        <v>-72.270306258322222</v>
      </c>
      <c r="F43" s="103">
        <v>-72.085026570803365</v>
      </c>
      <c r="G43" s="104">
        <v>-70.60330108138875</v>
      </c>
      <c r="H43" s="103">
        <v>-61.094554321322128</v>
      </c>
      <c r="I43" s="149">
        <v>-71.977036239684253</v>
      </c>
    </row>
    <row r="44" spans="1:25" ht="14" customHeight="1" x14ac:dyDescent="0.45">
      <c r="A44" s="1" t="s">
        <v>52</v>
      </c>
      <c r="B44" s="82" t="s">
        <v>92</v>
      </c>
      <c r="C44" s="102">
        <v>-44.754768392370551</v>
      </c>
      <c r="D44" s="102">
        <v>-38.392641007020089</v>
      </c>
      <c r="E44" s="102">
        <v>-42.261801832958668</v>
      </c>
      <c r="F44" s="102">
        <v>-15.161787365177215</v>
      </c>
      <c r="G44" s="102">
        <v>-50.329113924050631</v>
      </c>
      <c r="H44" s="102">
        <v>-27.329353750324394</v>
      </c>
      <c r="I44" s="102">
        <v>-16.57010428736967</v>
      </c>
    </row>
    <row r="45" spans="1:25" ht="14" customHeight="1" x14ac:dyDescent="0.45">
      <c r="A45" s="69" t="s">
        <v>45</v>
      </c>
      <c r="B45" s="103">
        <v>-12.007011393514444</v>
      </c>
      <c r="C45" s="103">
        <v>14.496696463272452</v>
      </c>
      <c r="D45" s="103">
        <v>30.726478761413279</v>
      </c>
      <c r="E45" s="103">
        <v>-9.7651421508034293</v>
      </c>
      <c r="F45" s="103">
        <v>6.5615462868769514</v>
      </c>
      <c r="G45" s="103">
        <v>12.733383121732643</v>
      </c>
      <c r="H45" s="103">
        <v>-0.39741679085945059</v>
      </c>
      <c r="I45" s="103">
        <v>4.3240284619595171</v>
      </c>
    </row>
    <row r="46" spans="1:25" x14ac:dyDescent="0.45">
      <c r="A46" s="71" t="s">
        <v>46</v>
      </c>
      <c r="B46" s="109">
        <v>76.541961577350918</v>
      </c>
      <c r="C46" s="109">
        <v>34.044570886676162</v>
      </c>
      <c r="D46" s="109">
        <v>44.485520640788678</v>
      </c>
      <c r="E46" s="109">
        <v>119.09814323607439</v>
      </c>
      <c r="F46" s="109">
        <v>107.93319415448855</v>
      </c>
      <c r="G46" s="109">
        <v>57.240905971173639</v>
      </c>
      <c r="H46" s="109">
        <v>84.408602150537675</v>
      </c>
      <c r="I46" s="109">
        <v>110.84093211752784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6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53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11 de agosto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49B2056C-9B59-4A7A-82F2-895EA26E484F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1</vt:lpstr>
      <vt:lpstr>2</vt:lpstr>
      <vt:lpstr>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2025-08-05T17:52:25Z</dcterms:modified>
</cp:coreProperties>
</file>