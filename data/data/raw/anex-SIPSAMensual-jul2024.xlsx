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ebhernandezg_dane_gov_co/Documents/VARIOS/MENSUAL/Julio 24/"/>
    </mc:Choice>
  </mc:AlternateContent>
  <xr:revisionPtr revIDLastSave="40" documentId="13_ncr:1_{53BA0858-DB16-4412-B71E-84F95A8AF140}" xr6:coauthVersionLast="47" xr6:coauthVersionMax="47" xr10:uidLastSave="{5EB3173C-1166-4D6E-9726-216BADC97822}"/>
  <bookViews>
    <workbookView xWindow="-110" yWindow="-110" windowWidth="19420" windowHeight="10420" tabRatio="815" xr2:uid="{00000000-000D-0000-FFFF-FFFF00000000}"/>
  </bookViews>
  <sheets>
    <sheet name="Índice" sheetId="519" r:id="rId1"/>
    <sheet name="Anexo 1" sheetId="520" r:id="rId2"/>
    <sheet name="Anexo 2" sheetId="521" r:id="rId3"/>
    <sheet name="Anexo 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2" l="1"/>
  <c r="A12" i="519" s="1"/>
  <c r="A7" i="521"/>
  <c r="A11" i="519" s="1"/>
  <c r="A7" i="520"/>
  <c r="A82" i="520"/>
  <c r="A52" i="521"/>
  <c r="A52" i="522"/>
  <c r="A10" i="519" l="1"/>
</calcChain>
</file>

<file path=xl/sharedStrings.xml><?xml version="1.0" encoding="utf-8"?>
<sst xmlns="http://schemas.openxmlformats.org/spreadsheetml/2006/main" count="370" uniqueCount="93">
  <si>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</si>
  <si>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</si>
  <si>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</si>
  <si>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</si>
  <si>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</si>
  <si>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</si>
  <si>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</si>
  <si>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</si>
  <si>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</si>
  <si>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</si>
  <si>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</si>
  <si>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</si>
  <si>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</si>
  <si>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</si>
  <si>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</si>
  <si>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</si>
  <si>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</si>
  <si>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</si>
  <si>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</si>
  <si>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</si>
  <si>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</si>
  <si>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</si>
  <si>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</si>
  <si>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</si>
  <si>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</si>
  <si>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</si>
  <si>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</si>
  <si>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</si>
  <si>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</si>
  <si>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</si>
  <si>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</si>
  <si>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</si>
  <si>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</si>
  <si>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</si>
  <si>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</si>
  <si>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</si>
  <si>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</si>
  <si>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</si>
  <si>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</si>
  <si>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</si>
  <si>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</si>
  <si>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</si>
  <si>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</si>
  <si>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</si>
  <si>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</si>
  <si>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</si>
  <si>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</si>
  <si>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</si>
  <si>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</si>
  <si>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</si>
  <si>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</si>
  <si>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</si>
  <si>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</si>
  <si>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</si>
  <si>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</si>
  <si>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</si>
  <si>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</si>
  <si>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</si>
  <si>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Naranja Valencia</t>
  </si>
  <si>
    <t>Papaya Maradol</t>
  </si>
  <si>
    <t>Julio de 2024</t>
  </si>
  <si>
    <t>Fecha de actualización: 9 de agosto de 2024</t>
  </si>
  <si>
    <t>n.d.</t>
  </si>
  <si>
    <t>-</t>
  </si>
  <si>
    <t>Apio</t>
  </si>
  <si>
    <t>Repollo blanco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</si>
  <si>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</si>
  <si>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</si>
  <si>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</si>
  <si>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</si>
  <si>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</si>
  <si>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</si>
  <si>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</si>
  <si>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</si>
  <si>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</si>
  <si>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</si>
  <si>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costeño</t>
  </si>
  <si>
    <t>Carne de cerdo, costilla</t>
  </si>
  <si>
    <t>Carne de res, lomo fino</t>
  </si>
  <si>
    <t>Pechuga de pollo</t>
  </si>
  <si>
    <t>Tilapia, filete congelado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</si>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</sst>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4" fontId="24" fillId="0" borderId="0" xfId="33" applyNumberFormat="1" applyFont="1" applyFill="1" applyBorder="1" applyAlignment="1">
      <alignment horizontal="right"/>
    </xf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0" borderId="0" xfId="34" applyNumberFormat="1" applyFont="1" applyFill="1" applyBorder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justify"/>
    </xf>
    <xf numFmtId="4" fontId="31" fillId="0" borderId="0" xfId="33" applyNumberFormat="1" applyFont="1" applyFill="1" applyBorder="1" applyAlignment="1" applyProtection="1">
      <alignment horizontal="right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164" fontId="24" fillId="0" borderId="0" xfId="34" applyFont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right" vertical="center"/>
    </xf>
    <xf numFmtId="2" fontId="24" fillId="0" borderId="2" xfId="34" applyNumberFormat="1" applyFont="1" applyFill="1" applyBorder="1" applyAlignment="1">
      <alignment horizontal="right" vertical="center"/>
    </xf>
    <xf numFmtId="0" fontId="24" fillId="33" borderId="0" xfId="34" applyNumberFormat="1" applyFont="1" applyFill="1" applyBorder="1" applyAlignment="1">
      <alignment horizontal="center" vertical="center"/>
    </xf>
    <xf numFmtId="0" fontId="23" fillId="33" borderId="2" xfId="0" applyFont="1" applyFill="1" applyBorder="1"/>
    <xf numFmtId="3" fontId="24" fillId="33" borderId="2" xfId="0" applyNumberFormat="1" applyFont="1" applyFill="1" applyBorder="1" applyAlignment="1">
      <alignment horizontal="right"/>
    </xf>
    <xf numFmtId="4" fontId="24" fillId="33" borderId="2" xfId="0" applyNumberFormat="1" applyFont="1" applyFill="1" applyBorder="1" applyAlignment="1">
      <alignment horizontal="right"/>
    </xf>
    <xf numFmtId="3" fontId="24" fillId="33" borderId="2" xfId="0" applyNumberFormat="1" applyFont="1" applyFill="1" applyBorder="1" applyAlignment="1">
      <alignment horizontal="right" vertical="center"/>
    </xf>
    <xf numFmtId="4" fontId="24" fillId="33" borderId="2" xfId="0" applyNumberFormat="1" applyFont="1" applyFill="1" applyBorder="1" applyAlignment="1">
      <alignment horizontal="right" vertical="center"/>
    </xf>
    <xf numFmtId="0" fontId="24" fillId="33" borderId="2" xfId="0" applyFont="1" applyFill="1" applyBorder="1" applyAlignment="1">
      <alignment horizontal="center" vertical="center"/>
    </xf>
    <xf numFmtId="2" fontId="24" fillId="33" borderId="2" xfId="0" applyNumberFormat="1" applyFont="1" applyFill="1" applyBorder="1" applyAlignment="1">
      <alignment horizontal="right" vertical="center"/>
    </xf>
    <xf numFmtId="3" fontId="24" fillId="0" borderId="2" xfId="34" applyNumberFormat="1" applyFont="1" applyFill="1" applyBorder="1" applyAlignment="1">
      <alignment horizontal="center" vertical="center"/>
    </xf>
    <xf numFmtId="0" fontId="24" fillId="0" borderId="2" xfId="34" applyNumberFormat="1" applyFont="1" applyFill="1" applyBorder="1" applyAlignment="1">
      <alignment horizontal="center" vertical="center"/>
    </xf>
    <xf numFmtId="4" fontId="24" fillId="33" borderId="0" xfId="0" applyNumberFormat="1" applyFont="1" applyFill="1" applyAlignment="1">
      <alignment horizontal="center" vertical="center"/>
    </xf>
    <xf numFmtId="3" fontId="24" fillId="33" borderId="2" xfId="0" applyNumberFormat="1" applyFont="1" applyFill="1" applyBorder="1" applyAlignment="1">
      <alignment horizontal="center" vertical="center"/>
    </xf>
    <xf numFmtId="0" fontId="29" fillId="33" borderId="0" xfId="0" applyFont="1" applyFill="1" applyAlignment="1">
      <alignment horizontal="centerContinuous"/>
    </xf>
    <xf numFmtId="2" fontId="24" fillId="33" borderId="0" xfId="34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3" fontId="24" fillId="33" borderId="0" xfId="0" applyNumberFormat="1" applyFont="1" applyFill="1" applyAlignment="1">
      <alignment horizontal="center"/>
    </xf>
    <xf numFmtId="4" fontId="24" fillId="33" borderId="0" xfId="0" applyNumberFormat="1" applyFont="1" applyFill="1" applyAlignment="1">
      <alignment horizontal="center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90710</xdr:rowOff>
    </xdr:from>
    <xdr:to>
      <xdr:col>11</xdr:col>
      <xdr:colOff>760286</xdr:colOff>
      <xdr:row>3</xdr:row>
      <xdr:rowOff>181031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11864BE4-E80D-4190-BE20-92482CF9BC37}"/>
            </a:ext>
          </a:extLst>
        </xdr:cNvPr>
        <xdr:cNvGrpSpPr/>
      </xdr:nvGrpSpPr>
      <xdr:grpSpPr>
        <a:xfrm>
          <a:off x="0" y="90710"/>
          <a:ext cx="9360000" cy="933964"/>
          <a:chOff x="89644" y="67235"/>
          <a:chExt cx="9360000" cy="933964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30080E15-C83E-742B-6534-C8A225AF66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89644" y="951089"/>
            <a:ext cx="9360000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2">
            <a:extLst>
              <a:ext uri="{FF2B5EF4-FFF2-40B4-BE49-F238E27FC236}">
                <a16:creationId xmlns:a16="http://schemas.microsoft.com/office/drawing/2014/main" id="{2E5C798F-784F-ADE1-EE3D-4E672C30BE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1586" y="67235"/>
            <a:ext cx="2177096" cy="8516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89644</xdr:colOff>
      <xdr:row>0</xdr:row>
      <xdr:rowOff>67235</xdr:rowOff>
    </xdr:from>
    <xdr:to>
      <xdr:col>16</xdr:col>
      <xdr:colOff>440115</xdr:colOff>
      <xdr:row>2</xdr:row>
      <xdr:rowOff>396081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4064F86-4912-FBD9-E1DB-BFCFB13A54F8}"/>
            </a:ext>
          </a:extLst>
        </xdr:cNvPr>
        <xdr:cNvGrpSpPr/>
      </xdr:nvGrpSpPr>
      <xdr:grpSpPr>
        <a:xfrm>
          <a:off x="89644" y="67235"/>
          <a:ext cx="9360000" cy="933964"/>
          <a:chOff x="89644" y="67235"/>
          <a:chExt cx="9360000" cy="933964"/>
        </a:xfrm>
      </xdr:grpSpPr>
      <xdr:pic>
        <xdr:nvPicPr>
          <xdr:cNvPr id="10" name="Imagen 12">
            <a:extLst>
              <a:ext uri="{FF2B5EF4-FFF2-40B4-BE49-F238E27FC236}">
                <a16:creationId xmlns:a16="http://schemas.microsoft.com/office/drawing/2014/main" id="{CD11CFED-4138-4BB7-4FEF-1BAE9EDD9D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89644" y="951089"/>
            <a:ext cx="9360000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2">
            <a:extLst>
              <a:ext uri="{FF2B5EF4-FFF2-40B4-BE49-F238E27FC236}">
                <a16:creationId xmlns:a16="http://schemas.microsoft.com/office/drawing/2014/main" id="{D25BCB0D-9E4B-B869-3FEC-DDD2842618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1586" y="67235"/>
            <a:ext cx="2177096" cy="8516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27611</xdr:colOff>
      <xdr:row>0</xdr:row>
      <xdr:rowOff>0</xdr:rowOff>
    </xdr:from>
    <xdr:to>
      <xdr:col>9</xdr:col>
      <xdr:colOff>9567</xdr:colOff>
      <xdr:row>2</xdr:row>
      <xdr:rowOff>189568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A263171-CE0E-12F1-646A-56A69E8D1F46}"/>
            </a:ext>
          </a:extLst>
        </xdr:cNvPr>
        <xdr:cNvGrpSpPr/>
      </xdr:nvGrpSpPr>
      <xdr:grpSpPr>
        <a:xfrm>
          <a:off x="27611" y="0"/>
          <a:ext cx="7734478" cy="835611"/>
          <a:chOff x="27611" y="0"/>
          <a:chExt cx="7734478" cy="835611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A234E613-67D1-4316-8DBA-CBD8EDBDFA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27611" y="794203"/>
            <a:ext cx="7734478" cy="414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2">
            <a:extLst>
              <a:ext uri="{FF2B5EF4-FFF2-40B4-BE49-F238E27FC236}">
                <a16:creationId xmlns:a16="http://schemas.microsoft.com/office/drawing/2014/main" id="{A9600D0C-D83E-41B4-BE84-EE2CA5D3B2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551" y="0"/>
            <a:ext cx="1806875" cy="7068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6350</xdr:rowOff>
    </xdr:from>
    <xdr:to>
      <xdr:col>9</xdr:col>
      <xdr:colOff>6528</xdr:colOff>
      <xdr:row>2</xdr:row>
      <xdr:rowOff>187911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7B9BF948-57EB-4F2D-AE0C-599459FE00DF}"/>
            </a:ext>
          </a:extLst>
        </xdr:cNvPr>
        <xdr:cNvGrpSpPr/>
      </xdr:nvGrpSpPr>
      <xdr:grpSpPr>
        <a:xfrm>
          <a:off x="25400" y="6350"/>
          <a:ext cx="7734478" cy="835611"/>
          <a:chOff x="27611" y="0"/>
          <a:chExt cx="7734478" cy="835611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9381C516-CEC9-0720-1547-FD5C30DDBD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27611" y="794203"/>
            <a:ext cx="7734478" cy="414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2">
            <a:extLst>
              <a:ext uri="{FF2B5EF4-FFF2-40B4-BE49-F238E27FC236}">
                <a16:creationId xmlns:a16="http://schemas.microsoft.com/office/drawing/2014/main" id="{CD85B95A-3851-B097-FB0A-B9C20431F9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551" y="0"/>
            <a:ext cx="1806875" cy="7068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5" sqref="A5:L6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4" ht="22" customHeight="1" x14ac:dyDescent="0.45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</row>
    <row r="3" spans="1:14" ht="22" customHeight="1" x14ac:dyDescent="0.4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N3" s="4"/>
    </row>
    <row r="4" spans="1:14" ht="22" customHeight="1" x14ac:dyDescent="0.45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</row>
    <row r="5" spans="1:14" ht="36" customHeight="1" x14ac:dyDescent="0.45">
      <c r="A5" s="147" t="s">
        <v>47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</row>
    <row r="6" spans="1:14" ht="31.5" customHeight="1" x14ac:dyDescent="0.45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</row>
    <row r="7" spans="1:14" x14ac:dyDescent="0.45">
      <c r="A7" s="145" t="s">
        <v>60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</row>
    <row r="8" spans="1:14" ht="15" customHeight="1" x14ac:dyDescent="0.45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</row>
    <row r="9" spans="1:14" x14ac:dyDescent="0.4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Julio de 2024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Julio de 2024</v>
      </c>
    </row>
    <row r="12" spans="1:14" s="10" customFormat="1" ht="31.5" customHeight="1" x14ac:dyDescent="0.25">
      <c r="A12" s="19" t="str">
        <f>+"Anexo 3. "&amp;'Anexo 3'!A6&amp;" "&amp;'Anexo 3'!A7</f>
        <v>Anexo 3. Comportamiento de los precios mayoristas de los principales alimentos en las principales ocho ciudades. Variación anual. Julio de 2024</v>
      </c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61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  <hyperlink ref="A12" location="'Anexo 1'!A1" display="'Anexo 1'!A1" xr:uid="{0B4092F7-A9A7-4AEB-82ED-D56014BF70B6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2"/>
  <sheetViews>
    <sheetView showGridLines="0" zoomScale="85" zoomScaleNormal="85" workbookViewId="0">
      <selection activeCell="I2" sqref="I2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50" t="s">
        <v>0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1" customFormat="1" ht="24" customHeight="1" x14ac:dyDescent="0.4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tr">
        <f>+"Variación mensual. "&amp;Índice!A7</f>
        <v>Variación mensual. Julio de 2024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53" t="s">
        <v>1</v>
      </c>
      <c r="B9" s="152" t="s">
        <v>2</v>
      </c>
      <c r="C9" s="152"/>
      <c r="D9" s="152" t="s">
        <v>3</v>
      </c>
      <c r="E9" s="152"/>
      <c r="F9" s="152" t="s">
        <v>4</v>
      </c>
      <c r="G9" s="152"/>
      <c r="H9" s="151" t="s">
        <v>5</v>
      </c>
      <c r="I9" s="151"/>
      <c r="J9" s="152" t="s">
        <v>6</v>
      </c>
      <c r="K9" s="152"/>
      <c r="L9" s="152" t="s">
        <v>7</v>
      </c>
      <c r="M9" s="152"/>
      <c r="N9" s="152" t="s">
        <v>8</v>
      </c>
      <c r="O9" s="152"/>
      <c r="P9" s="152" t="s">
        <v>9</v>
      </c>
      <c r="Q9" s="152"/>
    </row>
    <row r="10" spans="1:17" x14ac:dyDescent="0.45">
      <c r="A10" s="154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97" customFormat="1" ht="11.5" customHeight="1" x14ac:dyDescent="0.4">
      <c r="A11" s="110" t="s">
        <v>17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</row>
    <row r="12" spans="1:17" s="97" customFormat="1" ht="12" customHeight="1" x14ac:dyDescent="0.4">
      <c r="A12" s="21" t="s">
        <v>18</v>
      </c>
      <c r="B12" s="23">
        <v>1741</v>
      </c>
      <c r="C12" s="80">
        <v>-2.19</v>
      </c>
      <c r="D12" s="22">
        <v>1861</v>
      </c>
      <c r="E12" s="81">
        <v>7.51</v>
      </c>
      <c r="F12" s="22">
        <v>1126</v>
      </c>
      <c r="G12" s="81">
        <v>-4.25</v>
      </c>
      <c r="H12" s="27" t="s">
        <v>62</v>
      </c>
      <c r="I12" s="128" t="s">
        <v>63</v>
      </c>
      <c r="J12" s="22">
        <v>1293</v>
      </c>
      <c r="K12" s="81">
        <v>7.13</v>
      </c>
      <c r="L12" s="22">
        <v>1605</v>
      </c>
      <c r="M12" s="81">
        <v>-2.37</v>
      </c>
      <c r="N12" s="22">
        <v>1050</v>
      </c>
      <c r="O12" s="81">
        <v>16.54</v>
      </c>
      <c r="P12" s="23">
        <v>1415</v>
      </c>
      <c r="Q12" s="82">
        <v>-8</v>
      </c>
    </row>
    <row r="13" spans="1:17" s="97" customFormat="1" ht="12" customHeight="1" x14ac:dyDescent="0.4">
      <c r="A13" s="24" t="s">
        <v>64</v>
      </c>
      <c r="B13" s="26">
        <v>2205</v>
      </c>
      <c r="C13" s="37">
        <v>22.09</v>
      </c>
      <c r="D13" s="25">
        <v>860</v>
      </c>
      <c r="E13" s="84">
        <v>80.290000000000006</v>
      </c>
      <c r="F13" s="25">
        <v>1268</v>
      </c>
      <c r="G13" s="84">
        <v>26.8</v>
      </c>
      <c r="H13" s="29">
        <v>2336</v>
      </c>
      <c r="I13" s="125">
        <v>31.38</v>
      </c>
      <c r="J13" s="25">
        <v>5499</v>
      </c>
      <c r="K13" s="84">
        <v>-5.87</v>
      </c>
      <c r="L13" s="25">
        <v>1804</v>
      </c>
      <c r="M13" s="84">
        <v>7.83</v>
      </c>
      <c r="N13" s="25">
        <v>1602</v>
      </c>
      <c r="O13" s="84">
        <v>76.040000000000006</v>
      </c>
      <c r="P13" s="26">
        <v>2670</v>
      </c>
      <c r="Q13" s="83">
        <v>31.46</v>
      </c>
    </row>
    <row r="14" spans="1:17" s="97" customFormat="1" ht="12" customHeight="1" x14ac:dyDescent="0.4">
      <c r="A14" s="21" t="s">
        <v>19</v>
      </c>
      <c r="B14" s="22">
        <v>8979</v>
      </c>
      <c r="C14" s="82">
        <v>-9.1</v>
      </c>
      <c r="D14" s="22">
        <v>6113</v>
      </c>
      <c r="E14" s="81">
        <v>-14.65</v>
      </c>
      <c r="F14" s="22">
        <v>5628</v>
      </c>
      <c r="G14" s="81">
        <v>-12.97</v>
      </c>
      <c r="H14" s="27" t="s">
        <v>62</v>
      </c>
      <c r="I14" s="128" t="s">
        <v>63</v>
      </c>
      <c r="J14" s="22">
        <v>5499</v>
      </c>
      <c r="K14" s="82">
        <v>-5.87</v>
      </c>
      <c r="L14" s="22">
        <v>8904</v>
      </c>
      <c r="M14" s="81">
        <v>9.3699999999999992</v>
      </c>
      <c r="N14" s="22">
        <v>5071</v>
      </c>
      <c r="O14" s="81">
        <v>3.15</v>
      </c>
      <c r="P14" s="23">
        <v>5884</v>
      </c>
      <c r="Q14" s="82">
        <v>-8.1300000000000008</v>
      </c>
    </row>
    <row r="15" spans="1:17" s="97" customFormat="1" ht="12" customHeight="1" x14ac:dyDescent="0.4">
      <c r="A15" s="24" t="s">
        <v>20</v>
      </c>
      <c r="B15" s="28">
        <v>4231</v>
      </c>
      <c r="C15" s="86">
        <v>3.62</v>
      </c>
      <c r="D15" s="25">
        <v>3275</v>
      </c>
      <c r="E15" s="84">
        <v>-9.9</v>
      </c>
      <c r="F15" s="25">
        <v>3555</v>
      </c>
      <c r="G15" s="84">
        <v>37.630000000000003</v>
      </c>
      <c r="H15" s="25">
        <v>4040</v>
      </c>
      <c r="I15" s="84">
        <v>-5.52</v>
      </c>
      <c r="J15" s="28">
        <v>3898</v>
      </c>
      <c r="K15" s="86">
        <v>-11.09</v>
      </c>
      <c r="L15" s="25">
        <v>3624</v>
      </c>
      <c r="M15" s="84">
        <v>18.079999999999998</v>
      </c>
      <c r="N15" s="25">
        <v>3383</v>
      </c>
      <c r="O15" s="84">
        <v>-14.68</v>
      </c>
      <c r="P15" s="25">
        <v>3567</v>
      </c>
      <c r="Q15" s="84">
        <v>-4.83</v>
      </c>
    </row>
    <row r="16" spans="1:17" s="97" customFormat="1" ht="12" customHeight="1" x14ac:dyDescent="0.4">
      <c r="A16" s="21" t="s">
        <v>21</v>
      </c>
      <c r="B16" s="22">
        <v>1959</v>
      </c>
      <c r="C16" s="81">
        <v>21</v>
      </c>
      <c r="D16" s="22">
        <v>2392</v>
      </c>
      <c r="E16" s="81">
        <v>14.67</v>
      </c>
      <c r="F16" s="22">
        <v>1590</v>
      </c>
      <c r="G16" s="81">
        <v>19.91</v>
      </c>
      <c r="H16" s="23">
        <v>2519</v>
      </c>
      <c r="I16" s="80">
        <v>11.71</v>
      </c>
      <c r="J16" s="22">
        <v>2240</v>
      </c>
      <c r="K16" s="81">
        <v>10.78</v>
      </c>
      <c r="L16" s="22">
        <v>1469</v>
      </c>
      <c r="M16" s="81">
        <v>46.61</v>
      </c>
      <c r="N16" s="22">
        <v>2709</v>
      </c>
      <c r="O16" s="81">
        <v>21.92</v>
      </c>
      <c r="P16" s="23">
        <v>2217</v>
      </c>
      <c r="Q16" s="82">
        <v>-1.1200000000000001</v>
      </c>
    </row>
    <row r="17" spans="1:17" s="97" customFormat="1" ht="12" customHeight="1" x14ac:dyDescent="0.4">
      <c r="A17" s="24" t="s">
        <v>22</v>
      </c>
      <c r="B17" s="29" t="s">
        <v>62</v>
      </c>
      <c r="C17" s="125" t="s">
        <v>63</v>
      </c>
      <c r="D17" s="25">
        <v>2072</v>
      </c>
      <c r="E17" s="84">
        <v>-0.53</v>
      </c>
      <c r="F17" s="25">
        <v>1262</v>
      </c>
      <c r="G17" s="84">
        <v>-21.95</v>
      </c>
      <c r="H17" s="25">
        <v>872</v>
      </c>
      <c r="I17" s="84">
        <v>-49.07</v>
      </c>
      <c r="J17" s="25">
        <v>895</v>
      </c>
      <c r="K17" s="84">
        <v>-8.58</v>
      </c>
      <c r="L17" s="25">
        <v>1430</v>
      </c>
      <c r="M17" s="84">
        <v>-17.63</v>
      </c>
      <c r="N17" s="25">
        <v>1481</v>
      </c>
      <c r="O17" s="84">
        <v>3.21</v>
      </c>
      <c r="P17" s="29" t="s">
        <v>62</v>
      </c>
      <c r="Q17" s="125" t="s">
        <v>63</v>
      </c>
    </row>
    <row r="18" spans="1:17" s="97" customFormat="1" ht="12" customHeight="1" x14ac:dyDescent="0.4">
      <c r="A18" s="21" t="s">
        <v>23</v>
      </c>
      <c r="B18" s="22">
        <v>2149</v>
      </c>
      <c r="C18" s="81">
        <v>-34.74</v>
      </c>
      <c r="D18" s="22">
        <v>3313</v>
      </c>
      <c r="E18" s="81">
        <v>-7.25</v>
      </c>
      <c r="F18" s="22">
        <v>1644</v>
      </c>
      <c r="G18" s="81">
        <v>-50.81</v>
      </c>
      <c r="H18" s="23">
        <v>2528</v>
      </c>
      <c r="I18" s="82">
        <v>-19.100000000000001</v>
      </c>
      <c r="J18" s="22">
        <v>2898</v>
      </c>
      <c r="K18" s="81">
        <v>7.85</v>
      </c>
      <c r="L18" s="22">
        <v>2112</v>
      </c>
      <c r="M18" s="81">
        <v>-36.06</v>
      </c>
      <c r="N18" s="22">
        <v>1616</v>
      </c>
      <c r="O18" s="81">
        <v>114.61</v>
      </c>
      <c r="P18" s="23">
        <v>3179</v>
      </c>
      <c r="Q18" s="82">
        <v>29.91</v>
      </c>
    </row>
    <row r="19" spans="1:17" s="97" customFormat="1" ht="12" customHeight="1" x14ac:dyDescent="0.4">
      <c r="A19" s="24" t="s">
        <v>24</v>
      </c>
      <c r="B19" s="28">
        <v>3036</v>
      </c>
      <c r="C19" s="86">
        <v>-4.1399999999999997</v>
      </c>
      <c r="D19" s="25">
        <v>3040</v>
      </c>
      <c r="E19" s="84">
        <v>7.92</v>
      </c>
      <c r="F19" s="25">
        <v>1696</v>
      </c>
      <c r="G19" s="84">
        <v>-15.87</v>
      </c>
      <c r="H19" s="25">
        <v>2832</v>
      </c>
      <c r="I19" s="84">
        <v>1.29</v>
      </c>
      <c r="J19" s="28">
        <v>1032</v>
      </c>
      <c r="K19" s="86">
        <v>-27.78</v>
      </c>
      <c r="L19" s="25">
        <v>1990</v>
      </c>
      <c r="M19" s="84">
        <v>1.32</v>
      </c>
      <c r="N19" s="25">
        <v>1248</v>
      </c>
      <c r="O19" s="84">
        <v>4.26</v>
      </c>
      <c r="P19" s="25">
        <v>2517</v>
      </c>
      <c r="Q19" s="84">
        <v>0.68</v>
      </c>
    </row>
    <row r="20" spans="1:17" s="97" customFormat="1" ht="12" customHeight="1" x14ac:dyDescent="0.4">
      <c r="A20" s="21" t="s">
        <v>25</v>
      </c>
      <c r="B20" s="22">
        <v>1170</v>
      </c>
      <c r="C20" s="81">
        <v>-44.89</v>
      </c>
      <c r="D20" s="22">
        <v>1890</v>
      </c>
      <c r="E20" s="81">
        <v>-43.38</v>
      </c>
      <c r="F20" s="22">
        <v>1353</v>
      </c>
      <c r="G20" s="81">
        <v>-34.06</v>
      </c>
      <c r="H20" s="23">
        <v>1308</v>
      </c>
      <c r="I20" s="82">
        <v>-43.06</v>
      </c>
      <c r="J20" s="22">
        <v>1148</v>
      </c>
      <c r="K20" s="81">
        <v>-48.33</v>
      </c>
      <c r="L20" s="22">
        <v>951</v>
      </c>
      <c r="M20" s="81">
        <v>-56.2</v>
      </c>
      <c r="N20" s="22">
        <v>1014</v>
      </c>
      <c r="O20" s="81">
        <v>-44.16</v>
      </c>
      <c r="P20" s="23">
        <v>1467</v>
      </c>
      <c r="Q20" s="82">
        <v>-33.950000000000003</v>
      </c>
    </row>
    <row r="21" spans="1:17" s="97" customFormat="1" ht="12" customHeight="1" x14ac:dyDescent="0.4">
      <c r="A21" s="24" t="s">
        <v>26</v>
      </c>
      <c r="B21" s="25">
        <v>3589</v>
      </c>
      <c r="C21" s="84">
        <v>-5.05</v>
      </c>
      <c r="D21" s="25">
        <v>6121</v>
      </c>
      <c r="E21" s="84">
        <v>-3.23</v>
      </c>
      <c r="F21" s="25">
        <v>5534</v>
      </c>
      <c r="G21" s="84">
        <v>-1.53</v>
      </c>
      <c r="H21" s="25">
        <v>6066</v>
      </c>
      <c r="I21" s="84">
        <v>2.59</v>
      </c>
      <c r="J21" s="25">
        <v>4013</v>
      </c>
      <c r="K21" s="84">
        <v>-9.1300000000000008</v>
      </c>
      <c r="L21" s="25">
        <v>5934</v>
      </c>
      <c r="M21" s="84">
        <v>-0.13</v>
      </c>
      <c r="N21" s="25">
        <v>3856</v>
      </c>
      <c r="O21" s="84">
        <v>-9.42</v>
      </c>
      <c r="P21" s="25">
        <v>4959</v>
      </c>
      <c r="Q21" s="84">
        <v>6.46</v>
      </c>
    </row>
    <row r="22" spans="1:17" s="97" customFormat="1" ht="12" customHeight="1" x14ac:dyDescent="0.4">
      <c r="A22" s="21" t="s">
        <v>27</v>
      </c>
      <c r="B22" s="22">
        <v>1408</v>
      </c>
      <c r="C22" s="81">
        <v>10.52</v>
      </c>
      <c r="D22" s="22">
        <v>1162</v>
      </c>
      <c r="E22" s="81">
        <v>10.56</v>
      </c>
      <c r="F22" s="22">
        <v>868</v>
      </c>
      <c r="G22" s="81">
        <v>11.86</v>
      </c>
      <c r="H22" s="23">
        <v>1442</v>
      </c>
      <c r="I22" s="82">
        <v>16.86</v>
      </c>
      <c r="J22" s="22">
        <v>1318</v>
      </c>
      <c r="K22" s="81">
        <v>19.600000000000001</v>
      </c>
      <c r="L22" s="22">
        <v>1479</v>
      </c>
      <c r="M22" s="81">
        <v>5.19</v>
      </c>
      <c r="N22" s="22">
        <v>1167</v>
      </c>
      <c r="O22" s="81">
        <v>31.42</v>
      </c>
      <c r="P22" s="23">
        <v>1429</v>
      </c>
      <c r="Q22" s="82">
        <v>15.43</v>
      </c>
    </row>
    <row r="23" spans="1:17" s="97" customFormat="1" ht="12" customHeight="1" x14ac:dyDescent="0.4">
      <c r="A23" s="24" t="s">
        <v>65</v>
      </c>
      <c r="B23" s="25">
        <v>1602</v>
      </c>
      <c r="C23" s="84">
        <v>-0.37</v>
      </c>
      <c r="D23" s="25" t="s">
        <v>62</v>
      </c>
      <c r="E23" s="84" t="s">
        <v>63</v>
      </c>
      <c r="F23" s="25">
        <v>893</v>
      </c>
      <c r="G23" s="84">
        <v>-20.62</v>
      </c>
      <c r="H23" s="26">
        <v>1474</v>
      </c>
      <c r="I23" s="83">
        <v>-12.1</v>
      </c>
      <c r="J23" s="25">
        <v>819</v>
      </c>
      <c r="K23" s="84">
        <v>14.23</v>
      </c>
      <c r="L23" s="25" t="s">
        <v>62</v>
      </c>
      <c r="M23" s="84" t="s">
        <v>63</v>
      </c>
      <c r="N23" s="25">
        <v>596</v>
      </c>
      <c r="O23" s="84">
        <v>-27.41</v>
      </c>
      <c r="P23" s="26">
        <v>1298</v>
      </c>
      <c r="Q23" s="83">
        <v>-9.5500000000000007</v>
      </c>
    </row>
    <row r="24" spans="1:17" s="122" customFormat="1" ht="11.5" x14ac:dyDescent="0.3">
      <c r="A24" s="21" t="s">
        <v>28</v>
      </c>
      <c r="B24" s="22">
        <v>2276</v>
      </c>
      <c r="C24" s="81">
        <v>-5.76</v>
      </c>
      <c r="D24" s="22">
        <v>2311</v>
      </c>
      <c r="E24" s="81">
        <v>4.66</v>
      </c>
      <c r="F24" s="22">
        <v>2064</v>
      </c>
      <c r="G24" s="81">
        <v>5.25</v>
      </c>
      <c r="H24" s="27" t="s">
        <v>62</v>
      </c>
      <c r="I24" s="128" t="s">
        <v>63</v>
      </c>
      <c r="J24" s="22">
        <v>2613</v>
      </c>
      <c r="K24" s="81">
        <v>-10.94</v>
      </c>
      <c r="L24" s="22">
        <v>2033</v>
      </c>
      <c r="M24" s="81">
        <v>25.03</v>
      </c>
      <c r="N24" s="22">
        <v>2191</v>
      </c>
      <c r="O24" s="81">
        <v>-18.97</v>
      </c>
      <c r="P24" s="23">
        <v>2704</v>
      </c>
      <c r="Q24" s="82">
        <v>-1.82</v>
      </c>
    </row>
    <row r="25" spans="1:17" s="97" customFormat="1" ht="12" customHeight="1" x14ac:dyDescent="0.4">
      <c r="A25" s="30" t="s">
        <v>29</v>
      </c>
      <c r="B25" s="92">
        <v>2528</v>
      </c>
      <c r="C25" s="104">
        <v>14.54</v>
      </c>
      <c r="D25" s="31">
        <v>3532</v>
      </c>
      <c r="E25" s="85">
        <v>31.59</v>
      </c>
      <c r="F25" s="31">
        <v>2012</v>
      </c>
      <c r="G25" s="85">
        <v>16.71</v>
      </c>
      <c r="H25" s="31">
        <v>2750</v>
      </c>
      <c r="I25" s="85">
        <v>17.920000000000002</v>
      </c>
      <c r="J25" s="31">
        <v>3019</v>
      </c>
      <c r="K25" s="85">
        <v>-3.27</v>
      </c>
      <c r="L25" s="31">
        <v>1918</v>
      </c>
      <c r="M25" s="85">
        <v>16.309999999999999</v>
      </c>
      <c r="N25" s="31">
        <v>863</v>
      </c>
      <c r="O25" s="85">
        <v>34.01</v>
      </c>
      <c r="P25" s="31">
        <v>2800</v>
      </c>
      <c r="Q25" s="85">
        <v>19.3</v>
      </c>
    </row>
    <row r="26" spans="1:17" s="97" customFormat="1" ht="12" customHeight="1" x14ac:dyDescent="0.4">
      <c r="A26" s="110" t="s">
        <v>30</v>
      </c>
      <c r="B26" s="111"/>
      <c r="C26" s="112"/>
      <c r="D26" s="111"/>
      <c r="E26" s="112"/>
      <c r="F26" s="111"/>
      <c r="G26" s="112"/>
      <c r="H26" s="111"/>
      <c r="I26" s="112"/>
      <c r="J26" s="111"/>
      <c r="K26" s="112"/>
      <c r="L26" s="111"/>
      <c r="M26" s="112"/>
      <c r="N26" s="111"/>
      <c r="O26" s="112"/>
      <c r="P26" s="111"/>
      <c r="Q26" s="112"/>
    </row>
    <row r="27" spans="1:17" s="97" customFormat="1" ht="12" customHeight="1" x14ac:dyDescent="0.4">
      <c r="A27" s="24" t="s">
        <v>48</v>
      </c>
      <c r="B27" s="29" t="s">
        <v>62</v>
      </c>
      <c r="C27" s="125" t="s">
        <v>63</v>
      </c>
      <c r="D27" s="25">
        <v>5954</v>
      </c>
      <c r="E27" s="84">
        <v>2.83</v>
      </c>
      <c r="F27" s="25">
        <v>6441</v>
      </c>
      <c r="G27" s="37">
        <v>2.34</v>
      </c>
      <c r="H27" s="29">
        <v>6887</v>
      </c>
      <c r="I27" s="108">
        <v>1.88</v>
      </c>
      <c r="J27" s="28">
        <v>4800</v>
      </c>
      <c r="K27" s="83">
        <v>3.96</v>
      </c>
      <c r="L27" s="26">
        <v>7402</v>
      </c>
      <c r="M27" s="37">
        <v>-10.07</v>
      </c>
      <c r="N27" s="25">
        <v>4672</v>
      </c>
      <c r="O27" s="84">
        <v>20.440000000000001</v>
      </c>
      <c r="P27" s="26">
        <v>4817</v>
      </c>
      <c r="Q27" s="83">
        <v>10.68</v>
      </c>
    </row>
    <row r="28" spans="1:17" s="97" customFormat="1" ht="12" customHeight="1" x14ac:dyDescent="0.4">
      <c r="A28" s="21" t="s">
        <v>31</v>
      </c>
      <c r="B28" s="22">
        <v>1897</v>
      </c>
      <c r="C28" s="81">
        <v>1.17</v>
      </c>
      <c r="D28" s="22">
        <v>2809</v>
      </c>
      <c r="E28" s="81">
        <v>-0.21</v>
      </c>
      <c r="F28" s="22">
        <v>3226</v>
      </c>
      <c r="G28" s="81">
        <v>-4.4400000000000004</v>
      </c>
      <c r="H28" s="27" t="s">
        <v>62</v>
      </c>
      <c r="I28" s="128" t="s">
        <v>63</v>
      </c>
      <c r="J28" s="22">
        <v>2186</v>
      </c>
      <c r="K28" s="81">
        <v>-6.5</v>
      </c>
      <c r="L28" s="22">
        <v>3346</v>
      </c>
      <c r="M28" s="81">
        <v>-2.56</v>
      </c>
      <c r="N28" s="22">
        <v>2510</v>
      </c>
      <c r="O28" s="81">
        <v>13.73</v>
      </c>
      <c r="P28" s="23">
        <v>1987</v>
      </c>
      <c r="Q28" s="82">
        <v>-1.29</v>
      </c>
    </row>
    <row r="29" spans="1:17" s="97" customFormat="1" ht="12" customHeight="1" x14ac:dyDescent="0.4">
      <c r="A29" s="24" t="s">
        <v>32</v>
      </c>
      <c r="B29" s="25">
        <v>6855</v>
      </c>
      <c r="C29" s="84">
        <v>-5.55</v>
      </c>
      <c r="D29" s="25">
        <v>5196</v>
      </c>
      <c r="E29" s="84">
        <v>-4.49</v>
      </c>
      <c r="F29" s="29" t="s">
        <v>62</v>
      </c>
      <c r="G29" s="125" t="s">
        <v>63</v>
      </c>
      <c r="H29" s="25">
        <v>5720</v>
      </c>
      <c r="I29" s="84">
        <v>14.65</v>
      </c>
      <c r="J29" s="25">
        <v>3818</v>
      </c>
      <c r="K29" s="84">
        <v>-1.7</v>
      </c>
      <c r="L29" s="29" t="s">
        <v>62</v>
      </c>
      <c r="M29" s="125" t="s">
        <v>63</v>
      </c>
      <c r="N29" s="26">
        <v>7004</v>
      </c>
      <c r="O29" s="84">
        <v>5.99</v>
      </c>
      <c r="P29" s="25">
        <v>4142</v>
      </c>
      <c r="Q29" s="84">
        <v>2.4500000000000002</v>
      </c>
    </row>
    <row r="30" spans="1:17" s="97" customFormat="1" ht="12" customHeight="1" x14ac:dyDescent="0.4">
      <c r="A30" s="21" t="s">
        <v>33</v>
      </c>
      <c r="B30" s="27" t="s">
        <v>62</v>
      </c>
      <c r="C30" s="128" t="s">
        <v>63</v>
      </c>
      <c r="D30" s="22">
        <v>10861</v>
      </c>
      <c r="E30" s="81">
        <v>3.25</v>
      </c>
      <c r="F30" s="22">
        <v>11232</v>
      </c>
      <c r="G30" s="81">
        <v>-1.96</v>
      </c>
      <c r="H30" s="27" t="s">
        <v>62</v>
      </c>
      <c r="I30" s="128" t="s">
        <v>63</v>
      </c>
      <c r="J30" s="23">
        <v>9135</v>
      </c>
      <c r="K30" s="80">
        <v>0.98</v>
      </c>
      <c r="L30" s="23">
        <v>8081</v>
      </c>
      <c r="M30" s="82">
        <v>5.22</v>
      </c>
      <c r="N30" s="22">
        <v>8948</v>
      </c>
      <c r="O30" s="81">
        <v>-10.54</v>
      </c>
      <c r="P30" s="23">
        <v>8773</v>
      </c>
      <c r="Q30" s="82" t="s">
        <v>63</v>
      </c>
    </row>
    <row r="31" spans="1:17" s="97" customFormat="1" ht="12" customHeight="1" x14ac:dyDescent="0.4">
      <c r="A31" s="24" t="s">
        <v>34</v>
      </c>
      <c r="B31" s="25">
        <v>3983</v>
      </c>
      <c r="C31" s="84">
        <v>5.99</v>
      </c>
      <c r="D31" s="25">
        <v>2728</v>
      </c>
      <c r="E31" s="84">
        <v>-19.86</v>
      </c>
      <c r="F31" s="25">
        <v>2752</v>
      </c>
      <c r="G31" s="84">
        <v>63.23</v>
      </c>
      <c r="H31" s="25">
        <v>3513</v>
      </c>
      <c r="I31" s="84">
        <v>-6.17</v>
      </c>
      <c r="J31" s="25">
        <v>2700</v>
      </c>
      <c r="K31" s="84">
        <v>-12.08</v>
      </c>
      <c r="L31" s="25">
        <v>2880</v>
      </c>
      <c r="M31" s="84">
        <v>12.28</v>
      </c>
      <c r="N31" s="25">
        <v>2927</v>
      </c>
      <c r="O31" s="84">
        <v>19.03</v>
      </c>
      <c r="P31" s="25">
        <v>2581</v>
      </c>
      <c r="Q31" s="84">
        <v>-9.98</v>
      </c>
    </row>
    <row r="32" spans="1:17" s="97" customFormat="1" ht="12" customHeight="1" x14ac:dyDescent="0.4">
      <c r="A32" s="21" t="s">
        <v>55</v>
      </c>
      <c r="B32" s="22">
        <v>1078</v>
      </c>
      <c r="C32" s="81">
        <v>-20.79</v>
      </c>
      <c r="D32" s="22">
        <v>1038</v>
      </c>
      <c r="E32" s="81">
        <v>-23.62</v>
      </c>
      <c r="F32" s="22">
        <v>527</v>
      </c>
      <c r="G32" s="81">
        <v>-40.380000000000003</v>
      </c>
      <c r="H32" s="23">
        <v>1355</v>
      </c>
      <c r="I32" s="82">
        <v>-29.9</v>
      </c>
      <c r="J32" s="22">
        <v>962</v>
      </c>
      <c r="K32" s="82">
        <v>-30.74</v>
      </c>
      <c r="L32" s="22">
        <v>1446</v>
      </c>
      <c r="M32" s="81">
        <v>-15.83</v>
      </c>
      <c r="N32" s="22">
        <v>842</v>
      </c>
      <c r="O32" s="81">
        <v>-30.64</v>
      </c>
      <c r="P32" s="23">
        <v>1022</v>
      </c>
      <c r="Q32" s="82">
        <v>-16.3</v>
      </c>
    </row>
    <row r="33" spans="1:17" s="97" customFormat="1" ht="12" customHeight="1" x14ac:dyDescent="0.4">
      <c r="A33" s="24" t="s">
        <v>35</v>
      </c>
      <c r="B33" s="26">
        <v>7836</v>
      </c>
      <c r="C33" s="83">
        <v>-3.82</v>
      </c>
      <c r="D33" s="25">
        <v>5163</v>
      </c>
      <c r="E33" s="84">
        <v>-15.18</v>
      </c>
      <c r="F33" s="25">
        <v>6107</v>
      </c>
      <c r="G33" s="84">
        <v>-4.67</v>
      </c>
      <c r="H33" s="26">
        <v>7323</v>
      </c>
      <c r="I33" s="83">
        <v>-1.1299999999999999</v>
      </c>
      <c r="J33" s="26">
        <v>4823</v>
      </c>
      <c r="K33" s="83">
        <v>-7.98</v>
      </c>
      <c r="L33" s="25">
        <v>7309</v>
      </c>
      <c r="M33" s="84">
        <v>-2.81</v>
      </c>
      <c r="N33" s="25">
        <v>5811</v>
      </c>
      <c r="O33" s="84">
        <v>-3.76</v>
      </c>
      <c r="P33" s="26">
        <v>5567</v>
      </c>
      <c r="Q33" s="83">
        <v>-3.32</v>
      </c>
    </row>
    <row r="34" spans="1:17" s="97" customFormat="1" ht="12" customHeight="1" x14ac:dyDescent="0.4">
      <c r="A34" s="21" t="s">
        <v>36</v>
      </c>
      <c r="B34" s="22">
        <v>3231</v>
      </c>
      <c r="C34" s="81">
        <v>-2.97</v>
      </c>
      <c r="D34" s="22">
        <v>2761</v>
      </c>
      <c r="E34" s="81">
        <v>-28.29</v>
      </c>
      <c r="F34" s="22">
        <v>2483</v>
      </c>
      <c r="G34" s="128">
        <v>-10.130000000000001</v>
      </c>
      <c r="H34" s="23">
        <v>3750</v>
      </c>
      <c r="I34" s="141">
        <v>-8.34</v>
      </c>
      <c r="J34" s="22">
        <v>2490</v>
      </c>
      <c r="K34" s="81">
        <v>-11.32</v>
      </c>
      <c r="L34" s="22">
        <v>3228</v>
      </c>
      <c r="M34" s="81">
        <v>-5.94</v>
      </c>
      <c r="N34" s="22">
        <v>2493</v>
      </c>
      <c r="O34" s="81">
        <v>-38.75</v>
      </c>
      <c r="P34" s="23">
        <v>2361</v>
      </c>
      <c r="Q34" s="80">
        <v>-36.450000000000003</v>
      </c>
    </row>
    <row r="35" spans="1:17" s="97" customFormat="1" ht="12" customHeight="1" x14ac:dyDescent="0.4">
      <c r="A35" s="24" t="s">
        <v>37</v>
      </c>
      <c r="B35" s="25">
        <v>2845</v>
      </c>
      <c r="C35" s="84">
        <v>-1.9</v>
      </c>
      <c r="D35" s="25">
        <v>2774</v>
      </c>
      <c r="E35" s="98">
        <v>20.87</v>
      </c>
      <c r="F35" s="25">
        <v>3097</v>
      </c>
      <c r="G35" s="83">
        <v>10.37</v>
      </c>
      <c r="H35" s="29" t="s">
        <v>62</v>
      </c>
      <c r="I35" s="108" t="s">
        <v>63</v>
      </c>
      <c r="J35" s="25">
        <v>2726</v>
      </c>
      <c r="K35" s="84">
        <v>-3.71</v>
      </c>
      <c r="L35" s="25">
        <v>2957</v>
      </c>
      <c r="M35" s="84">
        <v>4.16</v>
      </c>
      <c r="N35" s="25">
        <v>2497</v>
      </c>
      <c r="O35" s="83">
        <v>33.96</v>
      </c>
      <c r="P35" s="26">
        <v>3156</v>
      </c>
      <c r="Q35" s="84">
        <v>6.69</v>
      </c>
    </row>
    <row r="36" spans="1:17" s="97" customFormat="1" ht="12" customHeight="1" x14ac:dyDescent="0.4">
      <c r="A36" s="21" t="s">
        <v>51</v>
      </c>
      <c r="B36" s="76" t="s">
        <v>62</v>
      </c>
      <c r="C36" s="128" t="s">
        <v>63</v>
      </c>
      <c r="D36" s="22">
        <v>9283</v>
      </c>
      <c r="E36" s="81">
        <v>7.42</v>
      </c>
      <c r="F36" s="22">
        <v>8302</v>
      </c>
      <c r="G36" s="81">
        <v>-0.14000000000000001</v>
      </c>
      <c r="H36" s="23">
        <v>8644</v>
      </c>
      <c r="I36" s="80">
        <v>-3.97</v>
      </c>
      <c r="J36" s="23">
        <v>8489</v>
      </c>
      <c r="K36" s="82">
        <v>6.27</v>
      </c>
      <c r="L36" s="22">
        <v>9075</v>
      </c>
      <c r="M36" s="81">
        <v>1.68</v>
      </c>
      <c r="N36" s="22">
        <v>8963</v>
      </c>
      <c r="O36" s="81">
        <v>12.01</v>
      </c>
      <c r="P36" s="23">
        <v>8375</v>
      </c>
      <c r="Q36" s="82">
        <v>6</v>
      </c>
    </row>
    <row r="37" spans="1:17" s="97" customFormat="1" ht="12" customHeight="1" x14ac:dyDescent="0.4">
      <c r="A37" s="24" t="s">
        <v>38</v>
      </c>
      <c r="B37" s="26">
        <v>3802</v>
      </c>
      <c r="C37" s="37">
        <v>5.61</v>
      </c>
      <c r="D37" s="25">
        <v>3497</v>
      </c>
      <c r="E37" s="84">
        <v>-1.66</v>
      </c>
      <c r="F37" s="25">
        <v>3149</v>
      </c>
      <c r="G37" s="84">
        <v>-1.87</v>
      </c>
      <c r="H37" s="29" t="s">
        <v>62</v>
      </c>
      <c r="I37" s="125" t="s">
        <v>63</v>
      </c>
      <c r="J37" s="25">
        <v>3359</v>
      </c>
      <c r="K37" s="84">
        <v>-3.28</v>
      </c>
      <c r="L37" s="25">
        <v>4860</v>
      </c>
      <c r="M37" s="84">
        <v>1.89</v>
      </c>
      <c r="N37" s="25">
        <v>2865</v>
      </c>
      <c r="O37" s="84">
        <v>10.58</v>
      </c>
      <c r="P37" s="26">
        <v>3411</v>
      </c>
      <c r="Q37" s="84">
        <v>-6.85</v>
      </c>
    </row>
    <row r="38" spans="1:17" s="97" customFormat="1" ht="12" customHeight="1" x14ac:dyDescent="0.4">
      <c r="A38" s="21" t="s">
        <v>39</v>
      </c>
      <c r="B38" s="22">
        <v>6164</v>
      </c>
      <c r="C38" s="81">
        <v>-5.04</v>
      </c>
      <c r="D38" s="22">
        <v>5733</v>
      </c>
      <c r="E38" s="81">
        <v>-1.78</v>
      </c>
      <c r="F38" s="22">
        <v>4264</v>
      </c>
      <c r="G38" s="81">
        <v>2.38</v>
      </c>
      <c r="H38" s="23">
        <v>4940</v>
      </c>
      <c r="I38" s="82">
        <v>1.27</v>
      </c>
      <c r="J38" s="22">
        <v>4824</v>
      </c>
      <c r="K38" s="81">
        <v>-7.3</v>
      </c>
      <c r="L38" s="22">
        <v>4208</v>
      </c>
      <c r="M38" s="81">
        <v>-6.43</v>
      </c>
      <c r="N38" s="22">
        <v>4360</v>
      </c>
      <c r="O38" s="81">
        <v>-0.46</v>
      </c>
      <c r="P38" s="23">
        <v>5444</v>
      </c>
      <c r="Q38" s="82">
        <v>-3.22</v>
      </c>
    </row>
    <row r="39" spans="1:17" s="97" customFormat="1" ht="12" customHeight="1" x14ac:dyDescent="0.4">
      <c r="A39" s="24" t="s">
        <v>57</v>
      </c>
      <c r="B39" s="29" t="s">
        <v>62</v>
      </c>
      <c r="C39" s="125" t="s">
        <v>63</v>
      </c>
      <c r="D39" s="25">
        <v>1929</v>
      </c>
      <c r="E39" s="84">
        <v>-1.23</v>
      </c>
      <c r="F39" s="25">
        <v>1069</v>
      </c>
      <c r="G39" s="83">
        <v>-4.13</v>
      </c>
      <c r="H39" s="26">
        <v>1596</v>
      </c>
      <c r="I39" s="83">
        <v>1.85</v>
      </c>
      <c r="J39" s="26">
        <v>1334</v>
      </c>
      <c r="K39" s="126">
        <v>12.29</v>
      </c>
      <c r="L39" s="26">
        <v>1448</v>
      </c>
      <c r="M39" s="126">
        <v>-15.67</v>
      </c>
      <c r="N39" s="25">
        <v>2222</v>
      </c>
      <c r="O39" s="83">
        <v>-1.42</v>
      </c>
      <c r="P39" s="25">
        <v>1227</v>
      </c>
      <c r="Q39" s="86">
        <v>12.05</v>
      </c>
    </row>
    <row r="40" spans="1:17" s="97" customFormat="1" ht="12" customHeight="1" x14ac:dyDescent="0.4">
      <c r="A40" s="21" t="s">
        <v>56</v>
      </c>
      <c r="B40" s="27" t="s">
        <v>62</v>
      </c>
      <c r="C40" s="128" t="s">
        <v>63</v>
      </c>
      <c r="D40" s="23">
        <v>1698</v>
      </c>
      <c r="E40" s="82">
        <v>-21.97</v>
      </c>
      <c r="F40" s="22">
        <v>1878</v>
      </c>
      <c r="G40" s="81">
        <v>-4.18</v>
      </c>
      <c r="H40" s="23">
        <v>1955</v>
      </c>
      <c r="I40" s="82">
        <v>-11.42</v>
      </c>
      <c r="J40" s="23">
        <v>1800</v>
      </c>
      <c r="K40" s="81">
        <v>14.14</v>
      </c>
      <c r="L40" s="23">
        <v>2367</v>
      </c>
      <c r="M40" s="82">
        <v>0.38</v>
      </c>
      <c r="N40" s="22">
        <v>2650</v>
      </c>
      <c r="O40" s="81">
        <v>8.08</v>
      </c>
      <c r="P40" s="23">
        <v>1907</v>
      </c>
      <c r="Q40" s="82">
        <v>5.48</v>
      </c>
    </row>
    <row r="41" spans="1:17" s="97" customFormat="1" ht="12" customHeight="1" x14ac:dyDescent="0.4">
      <c r="A41" s="24" t="s">
        <v>40</v>
      </c>
      <c r="B41" s="26">
        <v>3324</v>
      </c>
      <c r="C41" s="37">
        <v>-14.53</v>
      </c>
      <c r="D41" s="26">
        <v>2354</v>
      </c>
      <c r="E41" s="83">
        <v>3.98</v>
      </c>
      <c r="F41" s="25">
        <v>2349</v>
      </c>
      <c r="G41" s="84">
        <v>0.13</v>
      </c>
      <c r="H41" s="26">
        <v>3155</v>
      </c>
      <c r="I41" s="83">
        <v>7.72</v>
      </c>
      <c r="J41" s="26">
        <v>2444</v>
      </c>
      <c r="K41" s="84">
        <v>-10.25</v>
      </c>
      <c r="L41" s="26" t="s">
        <v>62</v>
      </c>
      <c r="M41" s="83" t="s">
        <v>63</v>
      </c>
      <c r="N41" s="25">
        <v>2555</v>
      </c>
      <c r="O41" s="84">
        <v>-1.39</v>
      </c>
      <c r="P41" s="26">
        <v>3469</v>
      </c>
      <c r="Q41" s="83">
        <v>-0.66</v>
      </c>
    </row>
    <row r="42" spans="1:17" s="97" customFormat="1" ht="12" customHeight="1" x14ac:dyDescent="0.4">
      <c r="A42" s="21" t="s">
        <v>41</v>
      </c>
      <c r="B42" s="22">
        <v>3155</v>
      </c>
      <c r="C42" s="81">
        <v>-27.47</v>
      </c>
      <c r="D42" s="22">
        <v>3357</v>
      </c>
      <c r="E42" s="81">
        <v>-7.01</v>
      </c>
      <c r="F42" s="22">
        <v>3394</v>
      </c>
      <c r="G42" s="81">
        <v>-18.32</v>
      </c>
      <c r="H42" s="23">
        <v>3367</v>
      </c>
      <c r="I42" s="101">
        <v>-24.69</v>
      </c>
      <c r="J42" s="22">
        <v>3214</v>
      </c>
      <c r="K42" s="81">
        <v>-19.190000000000001</v>
      </c>
      <c r="L42" s="22">
        <v>4220</v>
      </c>
      <c r="M42" s="81">
        <v>-1.63</v>
      </c>
      <c r="N42" s="22">
        <v>2642</v>
      </c>
      <c r="O42" s="81">
        <v>-29.09</v>
      </c>
      <c r="P42" s="23">
        <v>3533</v>
      </c>
      <c r="Q42" s="101">
        <v>-6.93</v>
      </c>
    </row>
    <row r="43" spans="1:17" s="97" customFormat="1" ht="12" customHeight="1" x14ac:dyDescent="0.4">
      <c r="A43" s="30" t="s">
        <v>66</v>
      </c>
      <c r="B43" s="136" t="s">
        <v>62</v>
      </c>
      <c r="C43" s="137" t="s">
        <v>63</v>
      </c>
      <c r="D43" s="31">
        <v>9896</v>
      </c>
      <c r="E43" s="85">
        <v>17.73</v>
      </c>
      <c r="F43" s="31">
        <v>9858</v>
      </c>
      <c r="G43" s="85">
        <v>11.1</v>
      </c>
      <c r="H43" s="92">
        <v>11768</v>
      </c>
      <c r="I43" s="104">
        <v>19.12</v>
      </c>
      <c r="J43" s="31">
        <v>9792</v>
      </c>
      <c r="K43" s="85">
        <v>18.78</v>
      </c>
      <c r="L43" s="136" t="s">
        <v>62</v>
      </c>
      <c r="M43" s="137" t="s">
        <v>63</v>
      </c>
      <c r="N43" s="31">
        <v>9788</v>
      </c>
      <c r="O43" s="85">
        <v>27.27</v>
      </c>
      <c r="P43" s="92">
        <v>9908</v>
      </c>
      <c r="Q43" s="104">
        <v>22.32</v>
      </c>
    </row>
    <row r="44" spans="1:17" s="97" customFormat="1" ht="12" customHeight="1" x14ac:dyDescent="0.4">
      <c r="A44" s="110" t="s">
        <v>42</v>
      </c>
      <c r="B44" s="111"/>
      <c r="C44" s="112"/>
      <c r="D44" s="111"/>
      <c r="E44" s="112"/>
      <c r="F44" s="111"/>
      <c r="G44" s="112"/>
      <c r="H44" s="111"/>
      <c r="I44" s="112"/>
      <c r="J44" s="111"/>
      <c r="K44" s="112"/>
      <c r="L44" s="111"/>
      <c r="M44" s="112"/>
      <c r="N44" s="111"/>
      <c r="O44" s="112"/>
      <c r="P44" s="111"/>
      <c r="Q44" s="112"/>
    </row>
    <row r="45" spans="1:17" s="97" customFormat="1" ht="12" customHeight="1" x14ac:dyDescent="0.4">
      <c r="A45" s="24" t="s">
        <v>43</v>
      </c>
      <c r="B45" s="29" t="s">
        <v>62</v>
      </c>
      <c r="C45" s="125" t="s">
        <v>63</v>
      </c>
      <c r="D45" s="25">
        <v>1301</v>
      </c>
      <c r="E45" s="84">
        <v>-18.79</v>
      </c>
      <c r="F45" s="25">
        <v>3051</v>
      </c>
      <c r="G45" s="84">
        <v>-16.62</v>
      </c>
      <c r="H45" s="29" t="s">
        <v>62</v>
      </c>
      <c r="I45" s="125" t="s">
        <v>63</v>
      </c>
      <c r="J45" s="25">
        <v>1284</v>
      </c>
      <c r="K45" s="84">
        <v>-23.71</v>
      </c>
      <c r="L45" s="25">
        <v>3333</v>
      </c>
      <c r="M45" s="84">
        <v>-14.32</v>
      </c>
      <c r="N45" s="25">
        <v>1898</v>
      </c>
      <c r="O45" s="84">
        <v>9.58</v>
      </c>
      <c r="P45" s="26">
        <v>2227</v>
      </c>
      <c r="Q45" s="84">
        <v>-3.59</v>
      </c>
    </row>
    <row r="46" spans="1:17" s="97" customFormat="1" ht="12" customHeight="1" x14ac:dyDescent="0.4">
      <c r="A46" s="21" t="s">
        <v>44</v>
      </c>
      <c r="B46" s="22">
        <v>2929</v>
      </c>
      <c r="C46" s="81">
        <v>1.84</v>
      </c>
      <c r="D46" s="22">
        <v>3725</v>
      </c>
      <c r="E46" s="81">
        <v>11.56</v>
      </c>
      <c r="F46" s="22">
        <v>3524</v>
      </c>
      <c r="G46" s="81">
        <v>-3.11</v>
      </c>
      <c r="H46" s="23">
        <v>3004</v>
      </c>
      <c r="I46" s="82">
        <v>5.66</v>
      </c>
      <c r="J46" s="22">
        <v>3199</v>
      </c>
      <c r="K46" s="81">
        <v>15.28</v>
      </c>
      <c r="L46" s="23">
        <v>3039</v>
      </c>
      <c r="M46" s="80">
        <v>2.12</v>
      </c>
      <c r="N46" s="22">
        <v>3691</v>
      </c>
      <c r="O46" s="81">
        <v>13.19</v>
      </c>
      <c r="P46" s="23">
        <v>3225</v>
      </c>
      <c r="Q46" s="82">
        <v>17.100000000000001</v>
      </c>
    </row>
    <row r="47" spans="1:17" s="97" customFormat="1" ht="12" customHeight="1" x14ac:dyDescent="0.4">
      <c r="A47" s="24" t="s">
        <v>67</v>
      </c>
      <c r="B47" s="25">
        <v>4659</v>
      </c>
      <c r="C47" s="83" t="s">
        <v>63</v>
      </c>
      <c r="D47" s="25">
        <v>5872</v>
      </c>
      <c r="E47" s="84">
        <v>-25.93</v>
      </c>
      <c r="F47" s="25">
        <v>4131</v>
      </c>
      <c r="G47" s="84">
        <v>-16.02</v>
      </c>
      <c r="H47" s="25">
        <v>5783</v>
      </c>
      <c r="I47" s="84">
        <v>-26.64</v>
      </c>
      <c r="J47" s="25">
        <v>3245</v>
      </c>
      <c r="K47" s="84">
        <v>-20.68</v>
      </c>
      <c r="L47" s="25">
        <v>3950</v>
      </c>
      <c r="M47" s="84">
        <v>-11.53</v>
      </c>
      <c r="N47" s="25">
        <v>3853</v>
      </c>
      <c r="O47" s="84">
        <v>-16.82</v>
      </c>
      <c r="P47" s="25">
        <v>3669</v>
      </c>
      <c r="Q47" s="84">
        <v>-30.22</v>
      </c>
    </row>
    <row r="48" spans="1:17" s="97" customFormat="1" ht="12" customHeight="1" x14ac:dyDescent="0.4">
      <c r="A48" s="21" t="s">
        <v>45</v>
      </c>
      <c r="B48" s="22">
        <v>2282</v>
      </c>
      <c r="C48" s="81">
        <v>-2.4</v>
      </c>
      <c r="D48" s="22">
        <v>2573</v>
      </c>
      <c r="E48" s="81">
        <v>0.9</v>
      </c>
      <c r="F48" s="22">
        <v>2519</v>
      </c>
      <c r="G48" s="81">
        <v>-10.86</v>
      </c>
      <c r="H48" s="23">
        <v>2427</v>
      </c>
      <c r="I48" s="82">
        <v>16.739999999999998</v>
      </c>
      <c r="J48" s="22">
        <v>1966</v>
      </c>
      <c r="K48" s="81">
        <v>-16.55</v>
      </c>
      <c r="L48" s="22">
        <v>2678</v>
      </c>
      <c r="M48" s="81">
        <v>-8.7899999999999991</v>
      </c>
      <c r="N48" s="22">
        <v>2013</v>
      </c>
      <c r="O48" s="81">
        <v>-1.76</v>
      </c>
      <c r="P48" s="23">
        <v>1763</v>
      </c>
      <c r="Q48" s="82">
        <v>-18.940000000000001</v>
      </c>
    </row>
    <row r="49" spans="1:25" s="97" customFormat="1" ht="12" customHeight="1" x14ac:dyDescent="0.4">
      <c r="A49" s="30" t="s">
        <v>46</v>
      </c>
      <c r="B49" s="31">
        <v>989</v>
      </c>
      <c r="C49" s="85">
        <v>2.7</v>
      </c>
      <c r="D49" s="31">
        <v>2109</v>
      </c>
      <c r="E49" s="85">
        <v>12.9</v>
      </c>
      <c r="F49" s="31">
        <v>1623</v>
      </c>
      <c r="G49" s="85">
        <v>31.31</v>
      </c>
      <c r="H49" s="31">
        <v>754</v>
      </c>
      <c r="I49" s="85">
        <v>-14.03</v>
      </c>
      <c r="J49" s="31">
        <v>958</v>
      </c>
      <c r="K49" s="85">
        <v>25.07</v>
      </c>
      <c r="L49" s="31">
        <v>1457</v>
      </c>
      <c r="M49" s="85">
        <v>-1.22</v>
      </c>
      <c r="N49" s="92">
        <v>1023</v>
      </c>
      <c r="O49" s="127">
        <v>1.0900000000000001</v>
      </c>
      <c r="P49" s="31">
        <v>998</v>
      </c>
      <c r="Q49" s="85">
        <v>24.75</v>
      </c>
    </row>
    <row r="50" spans="1:25" s="97" customFormat="1" ht="12" customHeight="1" x14ac:dyDescent="0.4">
      <c r="A50" s="110" t="s">
        <v>68</v>
      </c>
      <c r="B50" s="111"/>
      <c r="C50" s="112"/>
      <c r="D50" s="111"/>
      <c r="E50" s="112"/>
      <c r="F50" s="111"/>
      <c r="G50" s="112"/>
      <c r="H50" s="111"/>
      <c r="I50" s="112"/>
      <c r="J50" s="111"/>
      <c r="K50" s="112"/>
      <c r="L50" s="111"/>
      <c r="M50" s="112"/>
      <c r="N50" s="111"/>
      <c r="O50" s="112"/>
      <c r="P50" s="111"/>
      <c r="Q50" s="112"/>
    </row>
    <row r="51" spans="1:25" s="97" customFormat="1" ht="12" customHeight="1" x14ac:dyDescent="0.4">
      <c r="A51" s="15" t="s">
        <v>69</v>
      </c>
      <c r="B51" s="32">
        <v>3958</v>
      </c>
      <c r="C51" s="88">
        <v>-3.82</v>
      </c>
      <c r="D51" s="32">
        <v>3736</v>
      </c>
      <c r="E51" s="88">
        <v>0.48</v>
      </c>
      <c r="F51" s="32">
        <v>4350</v>
      </c>
      <c r="G51" s="88">
        <v>-2.0299999999999998</v>
      </c>
      <c r="H51" s="32">
        <v>4133</v>
      </c>
      <c r="I51" s="88">
        <v>0</v>
      </c>
      <c r="J51" s="32">
        <v>3979</v>
      </c>
      <c r="K51" s="88">
        <v>0.03</v>
      </c>
      <c r="L51" s="32">
        <v>3950</v>
      </c>
      <c r="M51" s="88">
        <v>2.15</v>
      </c>
      <c r="N51" s="32">
        <v>4015</v>
      </c>
      <c r="O51" s="88">
        <v>-0.84</v>
      </c>
      <c r="P51" s="32">
        <v>4168</v>
      </c>
      <c r="Q51" s="88">
        <v>1.56</v>
      </c>
    </row>
    <row r="52" spans="1:25" s="97" customFormat="1" ht="12" customHeight="1" x14ac:dyDescent="0.4">
      <c r="A52" s="33" t="s">
        <v>70</v>
      </c>
      <c r="B52" s="93" t="s">
        <v>62</v>
      </c>
      <c r="C52" s="77" t="s">
        <v>63</v>
      </c>
      <c r="D52" s="34">
        <v>3916</v>
      </c>
      <c r="E52" s="87">
        <v>-1.51</v>
      </c>
      <c r="F52" s="34">
        <v>4425</v>
      </c>
      <c r="G52" s="87">
        <v>3.82</v>
      </c>
      <c r="H52" s="34">
        <v>4475</v>
      </c>
      <c r="I52" s="87">
        <v>0.83</v>
      </c>
      <c r="J52" s="34">
        <v>4501</v>
      </c>
      <c r="K52" s="87">
        <v>-1.57</v>
      </c>
      <c r="L52" s="34">
        <v>3583</v>
      </c>
      <c r="M52" s="87">
        <v>0.45</v>
      </c>
      <c r="N52" s="34">
        <v>4080</v>
      </c>
      <c r="O52" s="87">
        <v>0.2</v>
      </c>
      <c r="P52" s="34">
        <v>3970</v>
      </c>
      <c r="Q52" s="87">
        <v>0.76</v>
      </c>
    </row>
    <row r="53" spans="1:25" s="97" customFormat="1" ht="12" customHeight="1" x14ac:dyDescent="0.4">
      <c r="A53" s="15" t="s">
        <v>71</v>
      </c>
      <c r="B53" s="32">
        <v>7773</v>
      </c>
      <c r="C53" s="88">
        <v>2.0499999999999998</v>
      </c>
      <c r="D53" s="32">
        <v>9486</v>
      </c>
      <c r="E53" s="88">
        <v>-4.3600000000000003</v>
      </c>
      <c r="F53" s="32">
        <v>8171</v>
      </c>
      <c r="G53" s="88">
        <v>2.33</v>
      </c>
      <c r="H53" s="32">
        <v>8225</v>
      </c>
      <c r="I53" s="88">
        <v>9.67</v>
      </c>
      <c r="J53" s="32">
        <v>7573</v>
      </c>
      <c r="K53" s="88">
        <v>1.2</v>
      </c>
      <c r="L53" s="32">
        <v>7558</v>
      </c>
      <c r="M53" s="88">
        <v>5.46</v>
      </c>
      <c r="N53" s="32">
        <v>11969</v>
      </c>
      <c r="O53" s="88">
        <v>-1.49</v>
      </c>
      <c r="P53" s="32">
        <v>11108</v>
      </c>
      <c r="Q53" s="88">
        <v>3.4</v>
      </c>
    </row>
    <row r="54" spans="1:25" s="97" customFormat="1" ht="12" customHeight="1" x14ac:dyDescent="0.4">
      <c r="A54" s="33" t="s">
        <v>72</v>
      </c>
      <c r="B54" s="93" t="s">
        <v>62</v>
      </c>
      <c r="C54" s="77" t="s">
        <v>63</v>
      </c>
      <c r="D54" s="34">
        <v>8924</v>
      </c>
      <c r="E54" s="87">
        <v>-1.77</v>
      </c>
      <c r="F54" s="34">
        <v>6938</v>
      </c>
      <c r="G54" s="87">
        <v>-1.71</v>
      </c>
      <c r="H54" s="93" t="s">
        <v>62</v>
      </c>
      <c r="I54" s="77" t="s">
        <v>63</v>
      </c>
      <c r="J54" s="93" t="s">
        <v>62</v>
      </c>
      <c r="K54" s="77" t="s">
        <v>63</v>
      </c>
      <c r="L54" s="34">
        <v>6687</v>
      </c>
      <c r="M54" s="87">
        <v>-2.27</v>
      </c>
      <c r="N54" s="34">
        <v>6957</v>
      </c>
      <c r="O54" s="87">
        <v>-7.0000000000000007E-2</v>
      </c>
      <c r="P54" s="34">
        <v>6667</v>
      </c>
      <c r="Q54" s="87">
        <v>-0.04</v>
      </c>
    </row>
    <row r="55" spans="1:25" s="97" customFormat="1" ht="12" customHeight="1" x14ac:dyDescent="0.4">
      <c r="A55" s="15" t="s">
        <v>73</v>
      </c>
      <c r="B55" s="32">
        <v>6943</v>
      </c>
      <c r="C55" s="88">
        <v>1.55</v>
      </c>
      <c r="D55" s="32">
        <v>6699</v>
      </c>
      <c r="E55" s="88">
        <v>0.21</v>
      </c>
      <c r="F55" s="32">
        <v>7739</v>
      </c>
      <c r="G55" s="88">
        <v>0.6</v>
      </c>
      <c r="H55" s="32">
        <v>7250</v>
      </c>
      <c r="I55" s="88">
        <v>3.57</v>
      </c>
      <c r="J55" s="32">
        <v>6453</v>
      </c>
      <c r="K55" s="88">
        <v>0.83</v>
      </c>
      <c r="L55" s="32">
        <v>6903</v>
      </c>
      <c r="M55" s="88">
        <v>2.4900000000000002</v>
      </c>
      <c r="N55" s="32">
        <v>7071</v>
      </c>
      <c r="O55" s="88">
        <v>1.1200000000000001</v>
      </c>
      <c r="P55" s="32">
        <v>6915</v>
      </c>
      <c r="Q55" s="88">
        <v>2.1</v>
      </c>
    </row>
    <row r="56" spans="1:25" s="99" customFormat="1" ht="12" customHeight="1" x14ac:dyDescent="0.45">
      <c r="A56" s="33" t="s">
        <v>74</v>
      </c>
      <c r="B56" s="34">
        <v>2126</v>
      </c>
      <c r="C56" s="87">
        <v>6.25</v>
      </c>
      <c r="D56" s="34">
        <v>2094</v>
      </c>
      <c r="E56" s="87">
        <v>2.7</v>
      </c>
      <c r="F56" s="93" t="s">
        <v>62</v>
      </c>
      <c r="G56" s="77" t="s">
        <v>63</v>
      </c>
      <c r="H56" s="34">
        <v>2696</v>
      </c>
      <c r="I56" s="89">
        <v>4.33</v>
      </c>
      <c r="J56" s="34">
        <v>2307</v>
      </c>
      <c r="K56" s="87">
        <v>4.8600000000000003</v>
      </c>
      <c r="L56" s="34">
        <v>2397</v>
      </c>
      <c r="M56" s="87">
        <v>5.59</v>
      </c>
      <c r="N56" s="34">
        <v>2094</v>
      </c>
      <c r="O56" s="87">
        <v>-3.19</v>
      </c>
      <c r="P56" s="34">
        <v>2736</v>
      </c>
      <c r="Q56" s="87">
        <v>-8.49</v>
      </c>
      <c r="R56" s="123"/>
      <c r="S56" s="84"/>
      <c r="T56" s="123"/>
      <c r="U56" s="84"/>
      <c r="V56" s="123"/>
      <c r="W56" s="83"/>
      <c r="X56" s="123"/>
      <c r="Y56" s="84"/>
    </row>
    <row r="57" spans="1:25" s="38" customFormat="1" ht="12" customHeight="1" x14ac:dyDescent="0.45">
      <c r="A57" s="15" t="s">
        <v>75</v>
      </c>
      <c r="B57" s="102" t="s">
        <v>62</v>
      </c>
      <c r="C57" s="78" t="s">
        <v>63</v>
      </c>
      <c r="D57" s="32">
        <v>435</v>
      </c>
      <c r="E57" s="90">
        <v>-5.43</v>
      </c>
      <c r="F57" s="102" t="s">
        <v>62</v>
      </c>
      <c r="G57" s="78" t="s">
        <v>63</v>
      </c>
      <c r="H57" s="32">
        <v>474</v>
      </c>
      <c r="I57" s="88">
        <v>-3.46</v>
      </c>
      <c r="J57" s="32">
        <v>516</v>
      </c>
      <c r="K57" s="88">
        <v>-2.46</v>
      </c>
      <c r="L57" s="32">
        <v>468</v>
      </c>
      <c r="M57" s="88">
        <v>-1.27</v>
      </c>
      <c r="N57" s="32">
        <v>463</v>
      </c>
      <c r="O57" s="88">
        <v>-0.43</v>
      </c>
      <c r="P57" s="32">
        <v>500</v>
      </c>
      <c r="Q57" s="88">
        <v>0</v>
      </c>
      <c r="S57" s="91"/>
      <c r="U57" s="91"/>
      <c r="W57" s="91"/>
      <c r="Y57" s="91"/>
    </row>
    <row r="58" spans="1:25" s="38" customFormat="1" ht="12" customHeight="1" x14ac:dyDescent="0.45">
      <c r="A58" s="33" t="s">
        <v>76</v>
      </c>
      <c r="B58" s="34">
        <v>17000</v>
      </c>
      <c r="C58" s="100">
        <v>-11.69</v>
      </c>
      <c r="D58" s="34">
        <v>18180</v>
      </c>
      <c r="E58" s="87">
        <v>-2.23</v>
      </c>
      <c r="F58" s="34">
        <v>20750</v>
      </c>
      <c r="G58" s="87">
        <v>-5.14</v>
      </c>
      <c r="H58" s="34">
        <v>15270</v>
      </c>
      <c r="I58" s="100">
        <v>-5.24</v>
      </c>
      <c r="J58" s="34">
        <v>18600</v>
      </c>
      <c r="K58" s="87">
        <v>-6.61</v>
      </c>
      <c r="L58" s="34">
        <v>23917</v>
      </c>
      <c r="M58" s="87">
        <v>-0.35</v>
      </c>
      <c r="N58" s="34">
        <v>21950</v>
      </c>
      <c r="O58" s="87">
        <v>0</v>
      </c>
      <c r="P58" s="93" t="s">
        <v>62</v>
      </c>
      <c r="Q58" s="77" t="s">
        <v>63</v>
      </c>
      <c r="S58" s="91"/>
      <c r="U58" s="91"/>
      <c r="W58" s="91"/>
      <c r="Y58" s="91"/>
    </row>
    <row r="59" spans="1:25" s="38" customFormat="1" ht="12" customHeight="1" x14ac:dyDescent="0.45">
      <c r="A59" s="15" t="s">
        <v>77</v>
      </c>
      <c r="B59" s="32">
        <v>17533</v>
      </c>
      <c r="C59" s="88">
        <v>0.19</v>
      </c>
      <c r="D59" s="32">
        <v>19983</v>
      </c>
      <c r="E59" s="88">
        <v>0.28000000000000003</v>
      </c>
      <c r="F59" s="102" t="s">
        <v>62</v>
      </c>
      <c r="G59" s="78" t="s">
        <v>63</v>
      </c>
      <c r="H59" s="32">
        <v>16725</v>
      </c>
      <c r="I59" s="116">
        <v>1.26</v>
      </c>
      <c r="J59" s="32">
        <v>22415</v>
      </c>
      <c r="K59" s="88">
        <v>1.8</v>
      </c>
      <c r="L59" s="106">
        <v>19000</v>
      </c>
      <c r="M59" s="103">
        <v>-0.43</v>
      </c>
      <c r="N59" s="32">
        <v>21925</v>
      </c>
      <c r="O59" s="88">
        <v>0.44</v>
      </c>
      <c r="P59" s="32">
        <v>20900</v>
      </c>
      <c r="Q59" s="88">
        <v>1.95</v>
      </c>
      <c r="S59" s="91"/>
      <c r="U59" s="91"/>
      <c r="W59" s="91"/>
      <c r="Y59" s="91"/>
    </row>
    <row r="60" spans="1:25" s="38" customFormat="1" ht="12" customHeight="1" x14ac:dyDescent="0.45">
      <c r="A60" s="33" t="s">
        <v>78</v>
      </c>
      <c r="B60" s="34">
        <v>40000</v>
      </c>
      <c r="C60" s="87">
        <v>1.05</v>
      </c>
      <c r="D60" s="34">
        <v>42083</v>
      </c>
      <c r="E60" s="87">
        <v>-5.03</v>
      </c>
      <c r="F60" s="34">
        <v>80860</v>
      </c>
      <c r="G60" s="87">
        <v>-0.05</v>
      </c>
      <c r="H60" s="34">
        <v>45300</v>
      </c>
      <c r="I60" s="87">
        <v>3.84</v>
      </c>
      <c r="J60" s="77" t="s">
        <v>62</v>
      </c>
      <c r="K60" s="142" t="s">
        <v>63</v>
      </c>
      <c r="L60" s="34">
        <v>34750</v>
      </c>
      <c r="M60" s="87">
        <v>2.46</v>
      </c>
      <c r="N60" s="34">
        <v>54106</v>
      </c>
      <c r="O60" s="87">
        <v>-4.8899999999999997</v>
      </c>
      <c r="P60" s="34">
        <v>36000</v>
      </c>
      <c r="Q60" s="87">
        <v>2.86</v>
      </c>
      <c r="S60" s="91"/>
      <c r="U60" s="91"/>
      <c r="W60" s="91"/>
      <c r="Y60" s="91"/>
    </row>
    <row r="61" spans="1:25" s="38" customFormat="1" ht="12" customHeight="1" x14ac:dyDescent="0.45">
      <c r="A61" s="15" t="s">
        <v>79</v>
      </c>
      <c r="B61" s="32">
        <v>11900</v>
      </c>
      <c r="C61" s="88">
        <v>4.3899999999999997</v>
      </c>
      <c r="D61" s="106">
        <v>16205</v>
      </c>
      <c r="E61" s="90">
        <v>1.1200000000000001</v>
      </c>
      <c r="F61" s="106">
        <v>16893</v>
      </c>
      <c r="G61" s="90">
        <v>0.36</v>
      </c>
      <c r="H61" s="32">
        <v>12900</v>
      </c>
      <c r="I61" s="88">
        <v>-1.01</v>
      </c>
      <c r="J61" s="32">
        <v>13960</v>
      </c>
      <c r="K61" s="88">
        <v>-0.64</v>
      </c>
      <c r="L61" s="106">
        <v>11733</v>
      </c>
      <c r="M61" s="90">
        <v>-0.14000000000000001</v>
      </c>
      <c r="N61" s="32">
        <v>14844</v>
      </c>
      <c r="O61" s="88">
        <v>4.12</v>
      </c>
      <c r="P61" s="102" t="s">
        <v>62</v>
      </c>
      <c r="Q61" s="78" t="s">
        <v>63</v>
      </c>
      <c r="S61" s="91"/>
      <c r="U61" s="91"/>
      <c r="W61" s="91"/>
      <c r="Y61" s="91"/>
    </row>
    <row r="62" spans="1:25" s="38" customFormat="1" ht="12" customHeight="1" x14ac:dyDescent="0.45">
      <c r="A62" s="33" t="s">
        <v>80</v>
      </c>
      <c r="B62" s="34" t="s">
        <v>62</v>
      </c>
      <c r="C62" s="87" t="s">
        <v>63</v>
      </c>
      <c r="D62" s="109">
        <v>22642</v>
      </c>
      <c r="E62" s="89">
        <v>8.36</v>
      </c>
      <c r="F62" s="109" t="s">
        <v>62</v>
      </c>
      <c r="G62" s="89" t="s">
        <v>63</v>
      </c>
      <c r="H62" s="34" t="s">
        <v>62</v>
      </c>
      <c r="I62" s="87" t="s">
        <v>63</v>
      </c>
      <c r="J62" s="34">
        <v>21333</v>
      </c>
      <c r="K62" s="87">
        <v>5.57</v>
      </c>
      <c r="L62" s="109" t="s">
        <v>62</v>
      </c>
      <c r="M62" s="89" t="s">
        <v>63</v>
      </c>
      <c r="N62" s="34">
        <v>24225</v>
      </c>
      <c r="O62" s="87">
        <v>0.52</v>
      </c>
      <c r="P62" s="93" t="s">
        <v>62</v>
      </c>
      <c r="Q62" s="77" t="s">
        <v>63</v>
      </c>
      <c r="S62" s="91"/>
      <c r="U62" s="91"/>
      <c r="W62" s="91"/>
      <c r="Y62" s="91"/>
    </row>
    <row r="63" spans="1:25" s="38" customFormat="1" ht="12" customHeight="1" x14ac:dyDescent="0.45">
      <c r="A63" s="15" t="s">
        <v>81</v>
      </c>
      <c r="B63" s="32">
        <v>7466</v>
      </c>
      <c r="C63" s="88">
        <v>0.4</v>
      </c>
      <c r="D63" s="106">
        <v>8545</v>
      </c>
      <c r="E63" s="116">
        <v>-3.95</v>
      </c>
      <c r="F63" s="32">
        <v>7568</v>
      </c>
      <c r="G63" s="88">
        <v>-1.51</v>
      </c>
      <c r="H63" s="32">
        <v>7779</v>
      </c>
      <c r="I63" s="90">
        <v>-3.02</v>
      </c>
      <c r="J63" s="32">
        <v>10906</v>
      </c>
      <c r="K63" s="88">
        <v>-2.97</v>
      </c>
      <c r="L63" s="102" t="s">
        <v>62</v>
      </c>
      <c r="M63" s="78" t="s">
        <v>63</v>
      </c>
      <c r="N63" s="32">
        <v>7341</v>
      </c>
      <c r="O63" s="88">
        <v>1.02</v>
      </c>
      <c r="P63" s="32">
        <v>6690</v>
      </c>
      <c r="Q63" s="88">
        <v>-6.14</v>
      </c>
      <c r="S63" s="91"/>
      <c r="U63" s="91"/>
      <c r="W63" s="91"/>
      <c r="Y63" s="91"/>
    </row>
    <row r="64" spans="1:25" s="38" customFormat="1" ht="12" customHeight="1" x14ac:dyDescent="0.45">
      <c r="A64" s="33" t="s">
        <v>82</v>
      </c>
      <c r="B64" s="34">
        <v>3780</v>
      </c>
      <c r="C64" s="87">
        <v>0.03</v>
      </c>
      <c r="D64" s="34">
        <v>3861</v>
      </c>
      <c r="E64" s="87">
        <v>-2.7</v>
      </c>
      <c r="F64" s="34">
        <v>4100</v>
      </c>
      <c r="G64" s="87">
        <v>0</v>
      </c>
      <c r="H64" s="34">
        <v>3640</v>
      </c>
      <c r="I64" s="87">
        <v>3</v>
      </c>
      <c r="J64" s="34">
        <v>3812</v>
      </c>
      <c r="K64" s="87">
        <v>-1.5</v>
      </c>
      <c r="L64" s="93" t="s">
        <v>62</v>
      </c>
      <c r="M64" s="77" t="s">
        <v>63</v>
      </c>
      <c r="N64" s="34">
        <v>3686</v>
      </c>
      <c r="O64" s="87">
        <v>-2.15</v>
      </c>
      <c r="P64" s="93" t="s">
        <v>62</v>
      </c>
      <c r="Q64" s="77" t="s">
        <v>63</v>
      </c>
      <c r="S64" s="91"/>
      <c r="U64" s="91"/>
      <c r="W64" s="91"/>
      <c r="Y64" s="91"/>
    </row>
    <row r="65" spans="1:25" s="38" customFormat="1" ht="12" customHeight="1" x14ac:dyDescent="0.45">
      <c r="A65" s="15" t="s">
        <v>83</v>
      </c>
      <c r="B65" s="32">
        <v>14290</v>
      </c>
      <c r="C65" s="88">
        <v>0.44</v>
      </c>
      <c r="D65" s="32">
        <v>14750</v>
      </c>
      <c r="E65" s="88">
        <v>0.64</v>
      </c>
      <c r="F65" s="32">
        <v>17111</v>
      </c>
      <c r="G65" s="88">
        <v>0.26</v>
      </c>
      <c r="H65" s="32">
        <v>14006</v>
      </c>
      <c r="I65" s="88">
        <v>-0.06</v>
      </c>
      <c r="J65" s="32">
        <v>16659</v>
      </c>
      <c r="K65" s="88">
        <v>0.5</v>
      </c>
      <c r="L65" s="106">
        <v>15914</v>
      </c>
      <c r="M65" s="103">
        <v>1.77</v>
      </c>
      <c r="N65" s="32">
        <v>14338</v>
      </c>
      <c r="O65" s="88">
        <v>0.67</v>
      </c>
      <c r="P65" s="106">
        <v>17449</v>
      </c>
      <c r="Q65" s="103">
        <v>-0.41</v>
      </c>
      <c r="S65" s="91"/>
      <c r="U65" s="91"/>
      <c r="W65" s="91"/>
      <c r="Y65" s="91"/>
    </row>
    <row r="66" spans="1:25" s="38" customFormat="1" ht="12" customHeight="1" x14ac:dyDescent="0.45">
      <c r="A66" s="33" t="s">
        <v>84</v>
      </c>
      <c r="B66" s="34">
        <v>2968</v>
      </c>
      <c r="C66" s="87">
        <v>0.03</v>
      </c>
      <c r="D66" s="34">
        <v>2706</v>
      </c>
      <c r="E66" s="87">
        <v>-0.95</v>
      </c>
      <c r="F66" s="34">
        <v>4331</v>
      </c>
      <c r="G66" s="87">
        <v>9.7799999999999994</v>
      </c>
      <c r="H66" s="34">
        <v>2527</v>
      </c>
      <c r="I66" s="87">
        <v>-0.04</v>
      </c>
      <c r="J66" s="34">
        <v>4512</v>
      </c>
      <c r="K66" s="87">
        <v>-1.7</v>
      </c>
      <c r="L66" s="34">
        <v>3150</v>
      </c>
      <c r="M66" s="100">
        <v>2.44</v>
      </c>
      <c r="N66" s="34">
        <v>3758</v>
      </c>
      <c r="O66" s="87">
        <v>-0.05</v>
      </c>
      <c r="P66" s="34">
        <v>3583</v>
      </c>
      <c r="Q66" s="87">
        <v>-4.68</v>
      </c>
      <c r="S66" s="91"/>
      <c r="U66" s="91"/>
      <c r="W66" s="91"/>
      <c r="Y66" s="91"/>
    </row>
    <row r="67" spans="1:25" s="38" customFormat="1" ht="12" customHeight="1" x14ac:dyDescent="0.45">
      <c r="A67" s="15" t="s">
        <v>85</v>
      </c>
      <c r="B67" s="32">
        <v>2993</v>
      </c>
      <c r="C67" s="88">
        <v>-0.53</v>
      </c>
      <c r="D67" s="32">
        <v>3873</v>
      </c>
      <c r="E67" s="88">
        <v>-0.67</v>
      </c>
      <c r="F67" s="32">
        <v>3503</v>
      </c>
      <c r="G67" s="88">
        <v>9.1999999999999993</v>
      </c>
      <c r="H67" s="32">
        <v>3458</v>
      </c>
      <c r="I67" s="88">
        <v>0.57999999999999996</v>
      </c>
      <c r="J67" s="32">
        <v>4900</v>
      </c>
      <c r="K67" s="88">
        <v>0.51</v>
      </c>
      <c r="L67" s="32">
        <v>2875</v>
      </c>
      <c r="M67" s="103">
        <v>1.77</v>
      </c>
      <c r="N67" s="32" t="s">
        <v>62</v>
      </c>
      <c r="O67" s="88" t="s">
        <v>63</v>
      </c>
      <c r="P67" s="32">
        <v>3565</v>
      </c>
      <c r="Q67" s="88">
        <v>-0.61</v>
      </c>
      <c r="R67" s="124"/>
      <c r="S67" s="40"/>
      <c r="T67" s="124"/>
      <c r="U67" s="40"/>
      <c r="V67" s="124"/>
      <c r="W67" s="40"/>
      <c r="X67" s="124"/>
      <c r="Y67" s="40"/>
    </row>
    <row r="68" spans="1:25" s="38" customFormat="1" ht="12" customHeight="1" x14ac:dyDescent="0.45">
      <c r="A68" s="33" t="s">
        <v>86</v>
      </c>
      <c r="B68" s="34">
        <v>39544</v>
      </c>
      <c r="C68" s="87">
        <v>0.02</v>
      </c>
      <c r="D68" s="34">
        <v>38018</v>
      </c>
      <c r="E68" s="100">
        <v>-0.48</v>
      </c>
      <c r="F68" s="34" t="s">
        <v>62</v>
      </c>
      <c r="G68" s="87" t="s">
        <v>63</v>
      </c>
      <c r="H68" s="34">
        <v>37125</v>
      </c>
      <c r="I68" s="87">
        <v>-0.08</v>
      </c>
      <c r="J68" s="34">
        <v>36944</v>
      </c>
      <c r="K68" s="89">
        <v>0.37</v>
      </c>
      <c r="L68" s="34" t="s">
        <v>62</v>
      </c>
      <c r="M68" s="87" t="s">
        <v>63</v>
      </c>
      <c r="N68" s="109">
        <v>35451</v>
      </c>
      <c r="O68" s="100">
        <v>-0.24</v>
      </c>
      <c r="P68" s="143" t="s">
        <v>62</v>
      </c>
      <c r="Q68" s="144" t="s">
        <v>63</v>
      </c>
      <c r="R68" s="124"/>
      <c r="S68" s="40"/>
      <c r="T68" s="124"/>
      <c r="U68" s="40"/>
      <c r="V68" s="124"/>
      <c r="W68" s="40"/>
      <c r="X68" s="124"/>
      <c r="Y68" s="40"/>
    </row>
    <row r="69" spans="1:25" s="38" customFormat="1" ht="12" customHeight="1" x14ac:dyDescent="0.45">
      <c r="A69" s="15" t="s">
        <v>87</v>
      </c>
      <c r="B69" s="32">
        <v>36081</v>
      </c>
      <c r="C69" s="88">
        <v>0.08</v>
      </c>
      <c r="D69" s="32">
        <v>28971</v>
      </c>
      <c r="E69" s="90">
        <v>0.11</v>
      </c>
      <c r="F69" s="106">
        <v>35103</v>
      </c>
      <c r="G69" s="103">
        <v>-0.84</v>
      </c>
      <c r="H69" s="32" t="s">
        <v>62</v>
      </c>
      <c r="I69" s="88" t="s">
        <v>63</v>
      </c>
      <c r="J69" s="32">
        <v>27737</v>
      </c>
      <c r="K69" s="90">
        <v>-0.33</v>
      </c>
      <c r="L69" s="106">
        <v>29871</v>
      </c>
      <c r="M69" s="103">
        <v>1.42</v>
      </c>
      <c r="N69" s="32">
        <v>30767</v>
      </c>
      <c r="O69" s="88">
        <v>3.04</v>
      </c>
      <c r="P69" s="106">
        <v>36821</v>
      </c>
      <c r="Q69" s="78" t="s">
        <v>63</v>
      </c>
      <c r="R69" s="124"/>
      <c r="S69" s="40"/>
      <c r="T69" s="124"/>
      <c r="U69" s="40"/>
      <c r="V69" s="124"/>
      <c r="W69" s="40"/>
      <c r="X69" s="124"/>
      <c r="Y69" s="40"/>
    </row>
    <row r="70" spans="1:25" s="38" customFormat="1" ht="12" customHeight="1" x14ac:dyDescent="0.45">
      <c r="A70" s="33" t="s">
        <v>88</v>
      </c>
      <c r="B70" s="34">
        <v>16138</v>
      </c>
      <c r="C70" s="114">
        <v>-2.1</v>
      </c>
      <c r="D70" s="34">
        <v>14304</v>
      </c>
      <c r="E70" s="87">
        <v>0.26</v>
      </c>
      <c r="F70" s="34">
        <v>17275</v>
      </c>
      <c r="G70" s="87">
        <v>3.42</v>
      </c>
      <c r="H70" s="93" t="s">
        <v>62</v>
      </c>
      <c r="I70" s="77" t="s">
        <v>63</v>
      </c>
      <c r="J70" s="34">
        <v>26187</v>
      </c>
      <c r="K70" s="87">
        <v>-0.24</v>
      </c>
      <c r="L70" s="34" t="s">
        <v>62</v>
      </c>
      <c r="M70" s="87" t="s">
        <v>63</v>
      </c>
      <c r="N70" s="34">
        <v>14270</v>
      </c>
      <c r="O70" s="87">
        <v>-1.1399999999999999</v>
      </c>
      <c r="P70" s="93" t="s">
        <v>62</v>
      </c>
      <c r="Q70" s="138" t="s">
        <v>63</v>
      </c>
      <c r="R70" s="124"/>
      <c r="S70" s="40"/>
      <c r="T70" s="124"/>
      <c r="U70" s="40"/>
      <c r="V70" s="124"/>
      <c r="W70" s="40"/>
      <c r="X70" s="124"/>
      <c r="Y70" s="40"/>
    </row>
    <row r="71" spans="1:25" s="38" customFormat="1" ht="12" customHeight="1" x14ac:dyDescent="0.45">
      <c r="A71" s="15" t="s">
        <v>89</v>
      </c>
      <c r="B71" s="106">
        <v>4500</v>
      </c>
      <c r="C71" s="103">
        <v>3.07</v>
      </c>
      <c r="D71" s="32">
        <v>3730</v>
      </c>
      <c r="E71" s="88">
        <v>1.44</v>
      </c>
      <c r="F71" s="32">
        <v>3952</v>
      </c>
      <c r="G71" s="88">
        <v>1.96</v>
      </c>
      <c r="H71" s="102" t="s">
        <v>62</v>
      </c>
      <c r="I71" s="78" t="s">
        <v>63</v>
      </c>
      <c r="J71" s="32">
        <v>5508</v>
      </c>
      <c r="K71" s="88">
        <v>-0.16</v>
      </c>
      <c r="L71" s="106">
        <v>3501</v>
      </c>
      <c r="M71" s="103">
        <v>1.07</v>
      </c>
      <c r="N71" s="32">
        <v>4506</v>
      </c>
      <c r="O71" s="88">
        <v>0.9</v>
      </c>
      <c r="P71" s="106">
        <v>5205</v>
      </c>
      <c r="Q71" s="90">
        <v>4.3099999999999996</v>
      </c>
      <c r="S71" s="91"/>
      <c r="U71" s="91"/>
      <c r="W71" s="91"/>
      <c r="Y71" s="91"/>
    </row>
    <row r="72" spans="1:25" s="38" customFormat="1" ht="12" customHeight="1" x14ac:dyDescent="0.45">
      <c r="A72" s="33" t="s">
        <v>90</v>
      </c>
      <c r="B72" s="34">
        <v>6877</v>
      </c>
      <c r="C72" s="87">
        <v>0.1</v>
      </c>
      <c r="D72" s="34">
        <v>7371</v>
      </c>
      <c r="E72" s="87">
        <v>0.94</v>
      </c>
      <c r="F72" s="34">
        <v>7038</v>
      </c>
      <c r="G72" s="87">
        <v>0.09</v>
      </c>
      <c r="H72" s="109">
        <v>6583</v>
      </c>
      <c r="I72" s="100">
        <v>0.63</v>
      </c>
      <c r="J72" s="34">
        <v>7583</v>
      </c>
      <c r="K72" s="87">
        <v>-2.5099999999999998</v>
      </c>
      <c r="L72" s="109">
        <v>3646</v>
      </c>
      <c r="M72" s="100">
        <v>-1.1399999999999999</v>
      </c>
      <c r="N72" s="34">
        <v>7360</v>
      </c>
      <c r="O72" s="87">
        <v>-2.4300000000000002</v>
      </c>
      <c r="P72" s="34">
        <v>6256</v>
      </c>
      <c r="Q72" s="87">
        <v>-9.8699999999999992</v>
      </c>
      <c r="S72" s="91"/>
      <c r="U72" s="91"/>
      <c r="W72" s="91"/>
      <c r="Y72" s="91"/>
    </row>
    <row r="73" spans="1:25" s="38" customFormat="1" ht="12" customHeight="1" x14ac:dyDescent="0.45">
      <c r="A73" s="15" t="s">
        <v>91</v>
      </c>
      <c r="B73" s="32">
        <v>20481</v>
      </c>
      <c r="C73" s="88">
        <v>-0.02</v>
      </c>
      <c r="D73" s="32">
        <v>19720</v>
      </c>
      <c r="E73" s="88">
        <v>2.17</v>
      </c>
      <c r="F73" s="32">
        <v>17208</v>
      </c>
      <c r="G73" s="88">
        <v>-0.56999999999999995</v>
      </c>
      <c r="H73" s="32">
        <v>20191</v>
      </c>
      <c r="I73" s="88">
        <v>-1.44</v>
      </c>
      <c r="J73" s="32">
        <v>21250</v>
      </c>
      <c r="K73" s="88">
        <v>-0.49</v>
      </c>
      <c r="L73" s="32" t="s">
        <v>62</v>
      </c>
      <c r="M73" s="88" t="s">
        <v>63</v>
      </c>
      <c r="N73" s="32">
        <v>21052</v>
      </c>
      <c r="O73" s="88">
        <v>-1.2</v>
      </c>
      <c r="P73" s="105" t="s">
        <v>62</v>
      </c>
      <c r="Q73" s="107" t="s">
        <v>63</v>
      </c>
      <c r="S73" s="91"/>
      <c r="U73" s="91"/>
      <c r="W73" s="91"/>
      <c r="Y73" s="91"/>
    </row>
    <row r="74" spans="1:25" s="38" customFormat="1" ht="12" customHeight="1" x14ac:dyDescent="0.45">
      <c r="A74" s="129" t="s">
        <v>92</v>
      </c>
      <c r="B74" s="130">
        <v>11822</v>
      </c>
      <c r="C74" s="131">
        <v>0.04</v>
      </c>
      <c r="D74" s="130">
        <v>15913</v>
      </c>
      <c r="E74" s="135">
        <v>1.05</v>
      </c>
      <c r="F74" s="130" t="s">
        <v>62</v>
      </c>
      <c r="G74" s="131" t="s">
        <v>63</v>
      </c>
      <c r="H74" s="130">
        <v>10717</v>
      </c>
      <c r="I74" s="131">
        <v>-1.56</v>
      </c>
      <c r="J74" s="130">
        <v>13905</v>
      </c>
      <c r="K74" s="131">
        <v>-1.62</v>
      </c>
      <c r="L74" s="132">
        <v>16593</v>
      </c>
      <c r="M74" s="133">
        <v>-0.88</v>
      </c>
      <c r="N74" s="130">
        <v>9184</v>
      </c>
      <c r="O74" s="131">
        <v>-1.46</v>
      </c>
      <c r="P74" s="139" t="s">
        <v>62</v>
      </c>
      <c r="Q74" s="134" t="s">
        <v>63</v>
      </c>
      <c r="S74" s="91"/>
      <c r="U74" s="91"/>
      <c r="W74" s="91"/>
      <c r="Y74" s="91"/>
    </row>
    <row r="75" spans="1:25" s="38" customFormat="1" x14ac:dyDescent="0.45">
      <c r="A75" s="15"/>
      <c r="B75" s="32"/>
      <c r="C75" s="88"/>
      <c r="D75" s="106"/>
      <c r="E75" s="90"/>
      <c r="F75" s="105"/>
      <c r="G75" s="78"/>
      <c r="H75" s="32"/>
      <c r="I75" s="88"/>
      <c r="J75" s="32"/>
      <c r="K75" s="88"/>
      <c r="L75" s="106"/>
      <c r="M75" s="103"/>
      <c r="N75" s="105"/>
      <c r="O75" s="107"/>
      <c r="P75" s="32"/>
      <c r="Q75" s="88"/>
      <c r="R75" s="35"/>
      <c r="S75" s="36"/>
      <c r="T75" s="35"/>
      <c r="U75" s="36"/>
      <c r="V75" s="35"/>
      <c r="W75" s="36"/>
      <c r="X75" s="35"/>
      <c r="Y75" s="36"/>
    </row>
    <row r="76" spans="1:25" s="38" customFormat="1" x14ac:dyDescent="0.45">
      <c r="A76" s="24" t="s">
        <v>12</v>
      </c>
      <c r="B76" s="39"/>
      <c r="C76" s="40"/>
      <c r="D76" s="39"/>
      <c r="E76" s="40"/>
      <c r="F76" s="39"/>
      <c r="G76" s="40"/>
      <c r="H76" s="39"/>
      <c r="I76" s="40"/>
      <c r="J76" s="39"/>
      <c r="K76" s="40"/>
      <c r="L76" s="39"/>
      <c r="M76" s="40"/>
      <c r="N76" s="39"/>
      <c r="O76" s="40"/>
      <c r="P76" s="39"/>
      <c r="Q76" s="40"/>
      <c r="R76" s="39"/>
      <c r="S76" s="40"/>
      <c r="T76" s="39"/>
      <c r="U76" s="40"/>
      <c r="V76" s="39"/>
      <c r="W76" s="40"/>
      <c r="X76" s="39"/>
      <c r="Y76" s="40"/>
    </row>
    <row r="77" spans="1:25" s="38" customFormat="1" x14ac:dyDescent="0.45">
      <c r="A77" s="41" t="s">
        <v>13</v>
      </c>
      <c r="B77" s="39"/>
      <c r="C77" s="40"/>
      <c r="D77" s="39"/>
      <c r="E77" s="40"/>
      <c r="F77" s="39"/>
      <c r="G77" s="40"/>
      <c r="H77" s="39"/>
      <c r="I77" s="40"/>
      <c r="J77" s="39"/>
      <c r="K77" s="40"/>
      <c r="L77" s="39"/>
      <c r="M77" s="40"/>
      <c r="N77" s="39"/>
      <c r="O77" s="40"/>
      <c r="P77" s="39"/>
      <c r="Q77" s="40"/>
      <c r="R77" s="39"/>
      <c r="S77" s="40"/>
      <c r="T77" s="39"/>
      <c r="U77" s="40"/>
      <c r="V77" s="39"/>
      <c r="W77" s="40"/>
      <c r="X77" s="39"/>
      <c r="Y77" s="40"/>
    </row>
    <row r="78" spans="1:25" s="38" customFormat="1" ht="19.5" customHeight="1" x14ac:dyDescent="0.45">
      <c r="A78" s="148" t="s">
        <v>49</v>
      </c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</row>
    <row r="79" spans="1:25" s="38" customFormat="1" x14ac:dyDescent="0.45">
      <c r="A79" s="24" t="s">
        <v>14</v>
      </c>
      <c r="B79" s="42"/>
      <c r="C79" s="43"/>
      <c r="D79" s="44"/>
      <c r="E79" s="43"/>
      <c r="F79" s="44"/>
      <c r="G79" s="43"/>
      <c r="H79" s="45"/>
      <c r="I79" s="43"/>
      <c r="J79" s="42"/>
      <c r="K79" s="43"/>
      <c r="L79" s="44"/>
      <c r="M79" s="43"/>
      <c r="N79" s="44"/>
      <c r="O79" s="43"/>
      <c r="P79" s="45"/>
      <c r="Q79" s="43"/>
      <c r="R79" s="44"/>
      <c r="S79" s="46"/>
      <c r="T79" s="44"/>
      <c r="U79" s="46"/>
      <c r="V79" s="44"/>
      <c r="W79" s="46"/>
      <c r="X79" s="44"/>
      <c r="Y79" s="46"/>
    </row>
    <row r="80" spans="1:25" s="38" customFormat="1" x14ac:dyDescent="0.45">
      <c r="A80" s="47" t="s">
        <v>15</v>
      </c>
      <c r="B80" s="39"/>
      <c r="C80" s="40"/>
      <c r="D80" s="39"/>
      <c r="E80" s="40"/>
      <c r="F80" s="39"/>
      <c r="G80" s="40"/>
      <c r="H80" s="39"/>
      <c r="I80" s="40"/>
      <c r="J80" s="39"/>
      <c r="K80" s="40"/>
      <c r="L80" s="39"/>
      <c r="M80" s="40"/>
      <c r="N80" s="39"/>
      <c r="O80" s="40"/>
      <c r="P80" s="39"/>
      <c r="Q80" s="40"/>
      <c r="R80" s="39"/>
      <c r="S80" s="40"/>
      <c r="T80" s="39"/>
      <c r="U80" s="40"/>
      <c r="V80" s="39"/>
      <c r="W80" s="40"/>
      <c r="X80" s="39"/>
      <c r="Y80" s="40"/>
    </row>
    <row r="82" spans="1:17" x14ac:dyDescent="0.45">
      <c r="A82" s="8" t="str">
        <f>+Índice!A14</f>
        <v>Fecha de actualización: 9 de agosto de 2024</v>
      </c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</row>
  </sheetData>
  <mergeCells count="11">
    <mergeCell ref="A78:Y78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zoomScale="115" zoomScaleNormal="115" workbookViewId="0">
      <selection activeCell="E1" sqref="E1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55" t="s">
        <v>0</v>
      </c>
      <c r="B4" s="155"/>
      <c r="C4" s="155"/>
      <c r="D4" s="155"/>
      <c r="E4" s="155"/>
      <c r="F4" s="155"/>
      <c r="G4" s="155"/>
      <c r="H4" s="155"/>
      <c r="I4" s="155"/>
    </row>
    <row r="5" spans="1:9" s="48" customFormat="1" ht="24" customHeight="1" x14ac:dyDescent="0.4">
      <c r="A5" s="155"/>
      <c r="B5" s="155"/>
      <c r="C5" s="155"/>
      <c r="D5" s="155"/>
      <c r="E5" s="155"/>
      <c r="F5" s="155"/>
      <c r="G5" s="155"/>
      <c r="H5" s="155"/>
      <c r="I5" s="155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tr">
        <f>+"Variación año corrido. "&amp;Índice!A7</f>
        <v>Variación año corrido. Julio de 2024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52" t="s">
        <v>2</v>
      </c>
      <c r="C9" s="52" t="s">
        <v>3</v>
      </c>
      <c r="D9" s="52" t="s">
        <v>4</v>
      </c>
      <c r="E9" s="53" t="s">
        <v>5</v>
      </c>
      <c r="F9" s="52" t="s">
        <v>6</v>
      </c>
      <c r="G9" s="52" t="s">
        <v>7</v>
      </c>
      <c r="H9" s="52" t="s">
        <v>8</v>
      </c>
      <c r="I9" s="52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1" t="s">
        <v>18</v>
      </c>
      <c r="B11" s="59">
        <v>28.108903605592328</v>
      </c>
      <c r="C11" s="56">
        <v>-16.509645580978017</v>
      </c>
      <c r="D11" s="56">
        <v>-22.451790633608827</v>
      </c>
      <c r="E11" s="115" t="s">
        <v>63</v>
      </c>
      <c r="F11" s="56">
        <v>-18.628067967275008</v>
      </c>
      <c r="G11" s="56">
        <v>-2.8450363196125816</v>
      </c>
      <c r="H11" s="56">
        <v>-8.2969432314410678</v>
      </c>
      <c r="I11" s="56">
        <v>-18.7715269804822</v>
      </c>
    </row>
    <row r="12" spans="1:9" ht="14" customHeight="1" x14ac:dyDescent="0.45">
      <c r="A12" s="94" t="s">
        <v>19</v>
      </c>
      <c r="B12" s="57">
        <v>-9.7406513872134948</v>
      </c>
      <c r="C12" s="57">
        <v>21.386020651310567</v>
      </c>
      <c r="D12" s="57">
        <v>13.651050080775452</v>
      </c>
      <c r="E12" s="117" t="s">
        <v>63</v>
      </c>
      <c r="F12" s="57">
        <v>6.8596968519238022</v>
      </c>
      <c r="G12" s="57">
        <v>21.655963929498554</v>
      </c>
      <c r="H12" s="57">
        <v>79.758950726692632</v>
      </c>
      <c r="I12" s="113" t="s">
        <v>63</v>
      </c>
    </row>
    <row r="13" spans="1:9" ht="14" customHeight="1" x14ac:dyDescent="0.45">
      <c r="A13" s="1" t="s">
        <v>20</v>
      </c>
      <c r="B13" s="56">
        <v>89.560931899641517</v>
      </c>
      <c r="C13" s="56">
        <v>88.434982738780164</v>
      </c>
      <c r="D13" s="56">
        <v>110.47957371225574</v>
      </c>
      <c r="E13" s="56">
        <v>79.955456570155874</v>
      </c>
      <c r="F13" s="56">
        <v>69.184027777777814</v>
      </c>
      <c r="G13" s="56">
        <v>86.804123711340182</v>
      </c>
      <c r="H13" s="56">
        <v>73.843782117163386</v>
      </c>
      <c r="I13" s="56">
        <v>74.340175953079196</v>
      </c>
    </row>
    <row r="14" spans="1:9" ht="14" customHeight="1" x14ac:dyDescent="0.45">
      <c r="A14" s="94" t="s">
        <v>21</v>
      </c>
      <c r="B14" s="58">
        <v>-19.149814279818401</v>
      </c>
      <c r="C14" s="57">
        <v>-3.7424547283702148</v>
      </c>
      <c r="D14" s="57">
        <v>-7.126168224299068</v>
      </c>
      <c r="E14" s="118">
        <v>-20.885678391959818</v>
      </c>
      <c r="F14" s="61">
        <v>16.182572614107915</v>
      </c>
      <c r="G14" s="57">
        <v>-17.23943661971834</v>
      </c>
      <c r="H14" s="57">
        <v>18.296943231441041</v>
      </c>
      <c r="I14" s="57">
        <v>1.9310344827586201</v>
      </c>
    </row>
    <row r="15" spans="1:9" ht="14" customHeight="1" x14ac:dyDescent="0.45">
      <c r="A15" s="1" t="s">
        <v>22</v>
      </c>
      <c r="B15" s="115" t="s">
        <v>63</v>
      </c>
      <c r="C15" s="56">
        <v>20.465116279069729</v>
      </c>
      <c r="D15" s="56">
        <v>32.28511530398319</v>
      </c>
      <c r="E15" s="56">
        <v>-30.958036421219326</v>
      </c>
      <c r="F15" s="56">
        <v>-3.0335861321777013</v>
      </c>
      <c r="G15" s="56">
        <v>10.424710424710426</v>
      </c>
      <c r="H15" s="56">
        <v>-3.1393067364290372</v>
      </c>
      <c r="I15" s="119" t="s">
        <v>63</v>
      </c>
    </row>
    <row r="16" spans="1:9" ht="14" customHeight="1" x14ac:dyDescent="0.45">
      <c r="A16" s="94" t="s">
        <v>23</v>
      </c>
      <c r="B16" s="57">
        <v>-39.190718732314643</v>
      </c>
      <c r="C16" s="57">
        <v>59.739633558341353</v>
      </c>
      <c r="D16" s="57">
        <v>-32.317826265953066</v>
      </c>
      <c r="E16" s="57">
        <v>-22.714766126566822</v>
      </c>
      <c r="F16" s="57">
        <v>20.099461251554086</v>
      </c>
      <c r="G16" s="57">
        <v>-43.69501466275657</v>
      </c>
      <c r="H16" s="57">
        <v>-4.9411764705882373</v>
      </c>
      <c r="I16" s="57">
        <v>30.984754841367934</v>
      </c>
    </row>
    <row r="17" spans="1:9" ht="14" customHeight="1" x14ac:dyDescent="0.45">
      <c r="A17" s="1" t="s">
        <v>24</v>
      </c>
      <c r="B17" s="56">
        <v>1.2000000000000011</v>
      </c>
      <c r="C17" s="56">
        <v>21.697357886309064</v>
      </c>
      <c r="D17" s="56">
        <v>-33.175728920409775</v>
      </c>
      <c r="E17" s="56">
        <v>-1.0827803003842007</v>
      </c>
      <c r="F17" s="56">
        <v>-9.4736842105262902</v>
      </c>
      <c r="G17" s="56">
        <v>-11.634103019538211</v>
      </c>
      <c r="H17" s="56">
        <v>-3.1807602792862877</v>
      </c>
      <c r="I17" s="56">
        <v>15.990783410138221</v>
      </c>
    </row>
    <row r="18" spans="1:9" ht="14" customHeight="1" x14ac:dyDescent="0.45">
      <c r="A18" s="94" t="s">
        <v>25</v>
      </c>
      <c r="B18" s="57">
        <v>20.867768595041312</v>
      </c>
      <c r="C18" s="57">
        <v>12.299465240641737</v>
      </c>
      <c r="D18" s="57">
        <v>30.598455598455576</v>
      </c>
      <c r="E18" s="57">
        <v>5.6542810985460656</v>
      </c>
      <c r="F18" s="57">
        <v>7.3900841908325576</v>
      </c>
      <c r="G18" s="57">
        <v>-12.430939226519321</v>
      </c>
      <c r="H18" s="57">
        <v>-13.407344150298893</v>
      </c>
      <c r="I18" s="57">
        <v>15.785319652722984</v>
      </c>
    </row>
    <row r="19" spans="1:9" ht="14" customHeight="1" x14ac:dyDescent="0.45">
      <c r="A19" s="1" t="s">
        <v>26</v>
      </c>
      <c r="B19" s="56">
        <v>7.1023575052223009</v>
      </c>
      <c r="C19" s="56">
        <v>50.319253438113989</v>
      </c>
      <c r="D19" s="56">
        <v>10.503194888178902</v>
      </c>
      <c r="E19" s="56">
        <v>36.806495263870097</v>
      </c>
      <c r="F19" s="56">
        <v>37.856406733081414</v>
      </c>
      <c r="G19" s="56">
        <v>21.225740551583261</v>
      </c>
      <c r="H19" s="56">
        <v>22.959183673469386</v>
      </c>
      <c r="I19" s="56">
        <v>50.272727272727245</v>
      </c>
    </row>
    <row r="20" spans="1:9" ht="14" customHeight="1" x14ac:dyDescent="0.45">
      <c r="A20" s="94" t="s">
        <v>27</v>
      </c>
      <c r="B20" s="57">
        <v>-11.16719242902211</v>
      </c>
      <c r="C20" s="57">
        <v>-0.9377664109121886</v>
      </c>
      <c r="D20" s="57">
        <v>-26.315789473684227</v>
      </c>
      <c r="E20" s="57">
        <v>-14.472123368920521</v>
      </c>
      <c r="F20" s="57">
        <v>-18.187461204221002</v>
      </c>
      <c r="G20" s="57">
        <v>-8.984615384615358</v>
      </c>
      <c r="H20" s="57">
        <v>11.674641148325327</v>
      </c>
      <c r="I20" s="120">
        <v>-12.38503985285101</v>
      </c>
    </row>
    <row r="21" spans="1:9" ht="14" customHeight="1" x14ac:dyDescent="0.45">
      <c r="A21" s="1" t="s">
        <v>28</v>
      </c>
      <c r="B21" s="56">
        <v>-37.420951333516626</v>
      </c>
      <c r="C21" s="56">
        <v>-34.402497871132567</v>
      </c>
      <c r="D21" s="56">
        <v>-36.059479553903351</v>
      </c>
      <c r="E21" s="59">
        <v>-34.618495551361548</v>
      </c>
      <c r="F21" s="59">
        <v>-30.338576379632087</v>
      </c>
      <c r="G21" s="59">
        <v>-43.652993348115302</v>
      </c>
      <c r="H21" s="56">
        <v>-47.20481927710842</v>
      </c>
      <c r="I21" s="56">
        <v>-28.916929547844372</v>
      </c>
    </row>
    <row r="22" spans="1:9" ht="14" customHeight="1" x14ac:dyDescent="0.45">
      <c r="A22" s="95" t="s">
        <v>29</v>
      </c>
      <c r="B22" s="63">
        <v>34.18259023354566</v>
      </c>
      <c r="C22" s="60">
        <v>84.438642297650119</v>
      </c>
      <c r="D22" s="60">
        <v>41.69014084507041</v>
      </c>
      <c r="E22" s="60">
        <v>38.888888888888907</v>
      </c>
      <c r="F22" s="60">
        <v>45.986460348162474</v>
      </c>
      <c r="G22" s="60">
        <v>18.982630272952861</v>
      </c>
      <c r="H22" s="60">
        <v>-34.021406727828762</v>
      </c>
      <c r="I22" s="79">
        <v>44.18125643666324</v>
      </c>
    </row>
    <row r="23" spans="1:9" ht="14" customHeight="1" x14ac:dyDescent="0.45">
      <c r="A23" s="140" t="s">
        <v>30</v>
      </c>
      <c r="B23" s="140"/>
      <c r="C23" s="140"/>
      <c r="D23" s="140"/>
      <c r="E23" s="140"/>
      <c r="F23" s="140"/>
      <c r="G23" s="140"/>
      <c r="H23" s="140"/>
      <c r="I23" s="140"/>
    </row>
    <row r="24" spans="1:9" ht="14" customHeight="1" x14ac:dyDescent="0.45">
      <c r="A24" s="1" t="s">
        <v>48</v>
      </c>
      <c r="B24" s="115" t="s">
        <v>63</v>
      </c>
      <c r="C24" s="56">
        <v>-42.705927636643558</v>
      </c>
      <c r="D24" s="59">
        <v>-24.053767244428727</v>
      </c>
      <c r="E24" s="115" t="s">
        <v>63</v>
      </c>
      <c r="F24" s="59">
        <v>-49.680259985323396</v>
      </c>
      <c r="G24" s="119" t="s">
        <v>63</v>
      </c>
      <c r="H24" s="56">
        <v>-45.324751316559386</v>
      </c>
      <c r="I24" s="115" t="s">
        <v>63</v>
      </c>
    </row>
    <row r="25" spans="1:9" ht="14" customHeight="1" x14ac:dyDescent="0.45">
      <c r="A25" s="94" t="s">
        <v>31</v>
      </c>
      <c r="B25" s="57">
        <v>49.370078740157531</v>
      </c>
      <c r="C25" s="57">
        <v>24.955516014234846</v>
      </c>
      <c r="D25" s="57">
        <v>58.681751106738858</v>
      </c>
      <c r="E25" s="117" t="s">
        <v>63</v>
      </c>
      <c r="F25" s="57">
        <v>39.147040101845931</v>
      </c>
      <c r="G25" s="57">
        <v>60.865384615384578</v>
      </c>
      <c r="H25" s="57">
        <v>38.368246968026476</v>
      </c>
      <c r="I25" s="57">
        <v>36.657496561210465</v>
      </c>
    </row>
    <row r="26" spans="1:9" ht="14" customHeight="1" x14ac:dyDescent="0.45">
      <c r="A26" s="1" t="s">
        <v>32</v>
      </c>
      <c r="B26" s="59">
        <v>34.411764705882362</v>
      </c>
      <c r="C26" s="56">
        <v>-21.758771269387132</v>
      </c>
      <c r="D26" s="115" t="s">
        <v>63</v>
      </c>
      <c r="E26" s="56">
        <v>16.402116402116395</v>
      </c>
      <c r="F26" s="56">
        <v>-11.229946524064182</v>
      </c>
      <c r="G26" s="115" t="s">
        <v>63</v>
      </c>
      <c r="H26" s="56">
        <v>-17.092803030303049</v>
      </c>
      <c r="I26" s="59">
        <v>-30.187089162312496</v>
      </c>
    </row>
    <row r="27" spans="1:9" ht="14" customHeight="1" x14ac:dyDescent="0.45">
      <c r="A27" s="94" t="s">
        <v>33</v>
      </c>
      <c r="B27" s="117" t="s">
        <v>63</v>
      </c>
      <c r="C27" s="57">
        <v>62.857999700104948</v>
      </c>
      <c r="D27" s="57">
        <v>47.034952218876839</v>
      </c>
      <c r="E27" s="113" t="s">
        <v>63</v>
      </c>
      <c r="F27" s="61">
        <v>40.279484029484045</v>
      </c>
      <c r="G27" s="61">
        <v>23.279938977879478</v>
      </c>
      <c r="H27" s="57">
        <v>38.793237164572659</v>
      </c>
      <c r="I27" s="113" t="s">
        <v>63</v>
      </c>
    </row>
    <row r="28" spans="1:9" ht="14" customHeight="1" x14ac:dyDescent="0.45">
      <c r="A28" s="1" t="s">
        <v>34</v>
      </c>
      <c r="B28" s="56">
        <v>0.25169896803423075</v>
      </c>
      <c r="C28" s="56">
        <v>45.029239766081815</v>
      </c>
      <c r="D28" s="56">
        <v>18.825561312607931</v>
      </c>
      <c r="E28" s="56">
        <v>2.3601398601398538</v>
      </c>
      <c r="F28" s="59">
        <v>11.20263591433277</v>
      </c>
      <c r="G28" s="56">
        <v>10.42944785276072</v>
      </c>
      <c r="H28" s="56">
        <v>29.341581970835207</v>
      </c>
      <c r="I28" s="56">
        <v>13.650374284456168</v>
      </c>
    </row>
    <row r="29" spans="1:9" ht="14" customHeight="1" x14ac:dyDescent="0.45">
      <c r="A29" s="94" t="s">
        <v>55</v>
      </c>
      <c r="B29" s="61">
        <v>-47.286063569682135</v>
      </c>
      <c r="C29" s="61">
        <v>-46.384297520661157</v>
      </c>
      <c r="D29" s="57">
        <v>-67.924528301886781</v>
      </c>
      <c r="E29" s="57">
        <v>-41.291161178509526</v>
      </c>
      <c r="F29" s="61">
        <v>-27.505651846269785</v>
      </c>
      <c r="G29" s="61">
        <v>-32.398316970546972</v>
      </c>
      <c r="H29" s="57">
        <v>-51.858204688393371</v>
      </c>
      <c r="I29" s="57">
        <v>-37.910085054678021</v>
      </c>
    </row>
    <row r="30" spans="1:9" ht="14" customHeight="1" x14ac:dyDescent="0.45">
      <c r="A30" s="1" t="s">
        <v>35</v>
      </c>
      <c r="B30" s="56">
        <v>70.236802085596352</v>
      </c>
      <c r="C30" s="56">
        <v>43.297252289758518</v>
      </c>
      <c r="D30" s="56">
        <v>80.360307147076185</v>
      </c>
      <c r="E30" s="56">
        <v>59.925747979908309</v>
      </c>
      <c r="F30" s="56">
        <v>40.366705471478468</v>
      </c>
      <c r="G30" s="56">
        <v>47.299476017734811</v>
      </c>
      <c r="H30" s="56">
        <v>94.673366834170864</v>
      </c>
      <c r="I30" s="56">
        <v>67.832378655411446</v>
      </c>
    </row>
    <row r="31" spans="1:9" ht="14" customHeight="1" x14ac:dyDescent="0.45">
      <c r="A31" s="94" t="s">
        <v>36</v>
      </c>
      <c r="B31" s="57">
        <v>40.112749349523028</v>
      </c>
      <c r="C31" s="57">
        <v>18.701633705932963</v>
      </c>
      <c r="D31" s="113" t="s">
        <v>63</v>
      </c>
      <c r="E31" s="113" t="s">
        <v>63</v>
      </c>
      <c r="F31" s="61">
        <v>-8.7912087912088044</v>
      </c>
      <c r="G31" s="57">
        <v>63.608717688798791</v>
      </c>
      <c r="H31" s="57">
        <v>-25.957825957825943</v>
      </c>
      <c r="I31" s="113" t="s">
        <v>63</v>
      </c>
    </row>
    <row r="32" spans="1:9" ht="14" customHeight="1" x14ac:dyDescent="0.45">
      <c r="A32" s="1" t="s">
        <v>37</v>
      </c>
      <c r="B32" s="62">
        <v>-16.421856639247945</v>
      </c>
      <c r="C32" s="62">
        <v>30.295913574448097</v>
      </c>
      <c r="D32" s="56">
        <v>27.658697444352875</v>
      </c>
      <c r="E32" s="119" t="s">
        <v>63</v>
      </c>
      <c r="F32" s="56">
        <v>15.901360544217692</v>
      </c>
      <c r="G32" s="115" t="s">
        <v>63</v>
      </c>
      <c r="H32" s="56">
        <v>33.031433137986085</v>
      </c>
      <c r="I32" s="62">
        <v>38.057742782152239</v>
      </c>
    </row>
    <row r="33" spans="1:9" ht="14" customHeight="1" x14ac:dyDescent="0.45">
      <c r="A33" s="94" t="s">
        <v>51</v>
      </c>
      <c r="B33" s="113" t="s">
        <v>63</v>
      </c>
      <c r="C33" s="57">
        <v>-7.4937717987045405</v>
      </c>
      <c r="D33" s="57">
        <v>-11.046823100825042</v>
      </c>
      <c r="E33" s="57">
        <v>-15.930752771834278</v>
      </c>
      <c r="F33" s="57">
        <v>-14.588992856424177</v>
      </c>
      <c r="G33" s="57">
        <v>-20.415680084188381</v>
      </c>
      <c r="H33" s="57">
        <v>-5.9890916719110177</v>
      </c>
      <c r="I33" s="57">
        <v>-18.180930050801091</v>
      </c>
    </row>
    <row r="34" spans="1:9" ht="14" customHeight="1" x14ac:dyDescent="0.45">
      <c r="A34" s="1" t="s">
        <v>38</v>
      </c>
      <c r="B34" s="59">
        <v>49.098039215686299</v>
      </c>
      <c r="C34" s="56">
        <v>26.794778825235667</v>
      </c>
      <c r="D34" s="56">
        <v>22.863831447522443</v>
      </c>
      <c r="E34" s="115" t="s">
        <v>63</v>
      </c>
      <c r="F34" s="56">
        <v>11.262007287181163</v>
      </c>
      <c r="G34" s="56">
        <v>12.78718960315619</v>
      </c>
      <c r="H34" s="56">
        <v>79.849340866290035</v>
      </c>
      <c r="I34" s="56">
        <v>7.0285534985880194</v>
      </c>
    </row>
    <row r="35" spans="1:9" ht="14" customHeight="1" x14ac:dyDescent="0.45">
      <c r="A35" s="94" t="s">
        <v>39</v>
      </c>
      <c r="B35" s="57">
        <v>4.8299319727891366</v>
      </c>
      <c r="C35" s="57">
        <v>-4.1464638020397899</v>
      </c>
      <c r="D35" s="57">
        <v>1.1145364002845826</v>
      </c>
      <c r="E35" s="57">
        <v>-1.7892644135188873</v>
      </c>
      <c r="F35" s="57">
        <v>-8.981132075471665</v>
      </c>
      <c r="G35" s="57">
        <v>7.8421322398769977</v>
      </c>
      <c r="H35" s="57">
        <v>10.46364327337217</v>
      </c>
      <c r="I35" s="57">
        <v>6.3073618433899581</v>
      </c>
    </row>
    <row r="36" spans="1:9" ht="14" customHeight="1" x14ac:dyDescent="0.45">
      <c r="A36" s="1" t="s">
        <v>57</v>
      </c>
      <c r="B36" s="115" t="s">
        <v>63</v>
      </c>
      <c r="C36" s="56">
        <v>24.531956100710083</v>
      </c>
      <c r="D36" s="56">
        <v>21.064552661381676</v>
      </c>
      <c r="E36" s="59">
        <v>26.666666666666639</v>
      </c>
      <c r="F36" s="121">
        <v>13.338997451146973</v>
      </c>
      <c r="G36" s="59">
        <v>45.090180360721455</v>
      </c>
      <c r="H36" s="56">
        <v>35.322777101096236</v>
      </c>
      <c r="I36" s="56">
        <v>-14.255765199161441</v>
      </c>
    </row>
    <row r="37" spans="1:9" ht="14" customHeight="1" x14ac:dyDescent="0.45">
      <c r="A37" s="94" t="s">
        <v>56</v>
      </c>
      <c r="B37" s="117" t="s">
        <v>63</v>
      </c>
      <c r="C37" s="61">
        <v>53.804347826086961</v>
      </c>
      <c r="D37" s="57">
        <v>50.843373493975918</v>
      </c>
      <c r="E37" s="61">
        <v>44.814814814814888</v>
      </c>
      <c r="F37" s="57">
        <v>29.310344827586277</v>
      </c>
      <c r="G37" s="57">
        <v>28.641304347826058</v>
      </c>
      <c r="H37" s="57">
        <v>6.5112540192926005</v>
      </c>
      <c r="I37" s="57">
        <v>33.263452131376695</v>
      </c>
    </row>
    <row r="38" spans="1:9" ht="14" customHeight="1" x14ac:dyDescent="0.45">
      <c r="A38" s="1" t="s">
        <v>40</v>
      </c>
      <c r="B38" s="56">
        <v>-17.579965286387299</v>
      </c>
      <c r="C38" s="56">
        <v>-32.741935483870968</v>
      </c>
      <c r="D38" s="56">
        <v>-24.754420432220037</v>
      </c>
      <c r="E38" s="59">
        <v>-15.392866720300336</v>
      </c>
      <c r="F38" s="59">
        <v>-27.456218462451744</v>
      </c>
      <c r="G38" s="115" t="s">
        <v>63</v>
      </c>
      <c r="H38" s="59">
        <v>-36.442786069651746</v>
      </c>
      <c r="I38" s="59">
        <v>-24.108510172828701</v>
      </c>
    </row>
    <row r="39" spans="1:9" ht="14" customHeight="1" x14ac:dyDescent="0.45">
      <c r="A39" s="95" t="s">
        <v>41</v>
      </c>
      <c r="B39" s="60">
        <v>72.028353326063254</v>
      </c>
      <c r="C39" s="60">
        <v>116.30154639175258</v>
      </c>
      <c r="D39" s="60">
        <v>141.22245913290681</v>
      </c>
      <c r="E39" s="60">
        <v>108.09641532756488</v>
      </c>
      <c r="F39" s="60">
        <v>157.12000000000006</v>
      </c>
      <c r="G39" s="63">
        <v>5.4999999999999716</v>
      </c>
      <c r="H39" s="60">
        <v>109.51625693893736</v>
      </c>
      <c r="I39" s="60">
        <v>80.808597748208882</v>
      </c>
    </row>
    <row r="40" spans="1:9" ht="14" customHeight="1" x14ac:dyDescent="0.45">
      <c r="A40" s="140" t="s">
        <v>42</v>
      </c>
      <c r="B40" s="140"/>
      <c r="C40" s="140"/>
      <c r="D40" s="140"/>
      <c r="E40" s="140"/>
      <c r="F40" s="140"/>
      <c r="G40" s="140"/>
      <c r="H40" s="140"/>
      <c r="I40" s="140"/>
    </row>
    <row r="41" spans="1:9" ht="14" customHeight="1" x14ac:dyDescent="0.45">
      <c r="A41" s="1" t="s">
        <v>43</v>
      </c>
      <c r="B41" s="119" t="s">
        <v>63</v>
      </c>
      <c r="C41" s="56">
        <v>-53.134005763688762</v>
      </c>
      <c r="D41" s="56">
        <v>-10.945709281961468</v>
      </c>
      <c r="E41" s="119" t="s">
        <v>63</v>
      </c>
      <c r="F41" s="56">
        <v>-57.356360013284622</v>
      </c>
      <c r="G41" s="56">
        <v>-13.315994798439545</v>
      </c>
      <c r="H41" s="56">
        <v>-0.99113197704747691</v>
      </c>
      <c r="I41" s="59">
        <v>-29.435994930291486</v>
      </c>
    </row>
    <row r="42" spans="1:9" ht="14" customHeight="1" x14ac:dyDescent="0.45">
      <c r="A42" s="94" t="s">
        <v>44</v>
      </c>
      <c r="B42" s="57">
        <v>90.071382219338062</v>
      </c>
      <c r="C42" s="57">
        <v>92.905230450543769</v>
      </c>
      <c r="D42" s="57">
        <v>104.05327156919518</v>
      </c>
      <c r="E42" s="57">
        <v>77.436503248670931</v>
      </c>
      <c r="F42" s="57">
        <v>69.080338266384757</v>
      </c>
      <c r="G42" s="61">
        <v>117.18170580964156</v>
      </c>
      <c r="H42" s="57">
        <v>67.316409791477838</v>
      </c>
      <c r="I42" s="57">
        <v>88.9491525423729</v>
      </c>
    </row>
    <row r="43" spans="1:9" ht="14" customHeight="1" x14ac:dyDescent="0.45">
      <c r="A43" s="1" t="s">
        <v>52</v>
      </c>
      <c r="B43" s="115" t="s">
        <v>63</v>
      </c>
      <c r="C43" s="56">
        <v>44.630541871921167</v>
      </c>
      <c r="D43" s="56">
        <v>52.323008849557517</v>
      </c>
      <c r="E43" s="56">
        <v>39.248735853599783</v>
      </c>
      <c r="F43" s="56">
        <v>7.7715044835602765</v>
      </c>
      <c r="G43" s="56">
        <v>39.133497710461441</v>
      </c>
      <c r="H43" s="56">
        <v>70.713336287106742</v>
      </c>
      <c r="I43" s="56">
        <v>2.5433202906651742</v>
      </c>
    </row>
    <row r="44" spans="1:9" ht="14" customHeight="1" x14ac:dyDescent="0.45">
      <c r="A44" s="94" t="s">
        <v>45</v>
      </c>
      <c r="B44" s="57">
        <v>-3.8348082595869748</v>
      </c>
      <c r="C44" s="57">
        <v>11.626898047722323</v>
      </c>
      <c r="D44" s="57">
        <v>-15.639651707970559</v>
      </c>
      <c r="E44" s="57">
        <v>74.855907780979877</v>
      </c>
      <c r="F44" s="57">
        <v>-11.201445347786798</v>
      </c>
      <c r="G44" s="57">
        <v>-12.1967213114754</v>
      </c>
      <c r="H44" s="57">
        <v>-8.2079343365253585</v>
      </c>
      <c r="I44" s="57">
        <v>-17.539756782039294</v>
      </c>
    </row>
    <row r="45" spans="1:9" ht="14" customHeight="1" x14ac:dyDescent="0.45">
      <c r="A45" s="96" t="s">
        <v>46</v>
      </c>
      <c r="B45" s="64">
        <v>-26.083707025411051</v>
      </c>
      <c r="C45" s="64">
        <v>21.837088388214852</v>
      </c>
      <c r="D45" s="64">
        <v>-19.374068554396441</v>
      </c>
      <c r="E45" s="64">
        <v>-32.678571428571409</v>
      </c>
      <c r="F45" s="64">
        <v>-18.813559322033903</v>
      </c>
      <c r="G45" s="64">
        <v>-32.169459962756044</v>
      </c>
      <c r="H45" s="64">
        <v>-9.7713097713097987</v>
      </c>
      <c r="I45" s="64">
        <v>3.9583333333333304</v>
      </c>
    </row>
    <row r="46" spans="1:9" x14ac:dyDescent="0.45">
      <c r="A46" s="48"/>
      <c r="B46" s="56"/>
      <c r="C46" s="56"/>
      <c r="D46" s="56"/>
      <c r="E46" s="56"/>
      <c r="F46" s="56"/>
      <c r="G46" s="56"/>
      <c r="H46" s="56"/>
      <c r="I46" s="56"/>
    </row>
    <row r="47" spans="1:9" x14ac:dyDescent="0.45">
      <c r="A47" s="65" t="s">
        <v>12</v>
      </c>
      <c r="B47" s="66"/>
      <c r="C47" s="67"/>
      <c r="D47" s="67"/>
      <c r="E47" s="66"/>
      <c r="F47" s="67"/>
      <c r="G47" s="67"/>
      <c r="H47" s="67"/>
      <c r="I47" s="67"/>
    </row>
    <row r="48" spans="1:9" x14ac:dyDescent="0.45">
      <c r="A48" s="68" t="s">
        <v>54</v>
      </c>
      <c r="B48" s="68"/>
      <c r="C48" s="68"/>
      <c r="D48" s="68"/>
      <c r="E48" s="68"/>
      <c r="F48" s="68"/>
      <c r="G48" s="68"/>
      <c r="H48" s="68"/>
      <c r="I48" s="68"/>
    </row>
    <row r="49" spans="1:9" x14ac:dyDescent="0.45">
      <c r="A49" s="69" t="s">
        <v>14</v>
      </c>
      <c r="B49" s="66"/>
      <c r="C49" s="67"/>
      <c r="D49" s="67"/>
      <c r="E49" s="66"/>
      <c r="F49" s="67"/>
      <c r="G49" s="67"/>
      <c r="H49" s="67"/>
      <c r="I49" s="67"/>
    </row>
    <row r="50" spans="1:9" x14ac:dyDescent="0.45">
      <c r="A50" s="70" t="s">
        <v>15</v>
      </c>
      <c r="B50" s="71"/>
      <c r="C50" s="71"/>
      <c r="D50" s="71"/>
      <c r="E50" s="71"/>
      <c r="F50" s="71"/>
      <c r="G50" s="71"/>
      <c r="H50" s="71"/>
      <c r="I50" s="71"/>
    </row>
    <row r="51" spans="1:9" x14ac:dyDescent="0.45">
      <c r="A51" s="70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2" t="str">
        <f>+Índice!A14</f>
        <v>Fecha de actualización: 9 de agosto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0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0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0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I55"/>
  <sheetViews>
    <sheetView showGridLines="0" workbookViewId="0">
      <selection activeCell="K14" sqref="K14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.5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55" t="s">
        <v>0</v>
      </c>
      <c r="B4" s="155"/>
      <c r="C4" s="155"/>
      <c r="D4" s="155"/>
      <c r="E4" s="155"/>
      <c r="F4" s="155"/>
      <c r="G4" s="155"/>
      <c r="H4" s="155"/>
      <c r="I4" s="155"/>
    </row>
    <row r="5" spans="1:9" s="48" customFormat="1" ht="27.75" customHeight="1" x14ac:dyDescent="0.4">
      <c r="A5" s="155"/>
      <c r="B5" s="155"/>
      <c r="C5" s="155"/>
      <c r="D5" s="155"/>
      <c r="E5" s="155"/>
      <c r="F5" s="155"/>
      <c r="G5" s="155"/>
      <c r="H5" s="155"/>
      <c r="I5" s="155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tr">
        <f>+"Variación anual. "&amp;Índice!A7</f>
        <v>Variación anual. Julio de 2024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73" t="s">
        <v>2</v>
      </c>
      <c r="C9" s="73" t="s">
        <v>3</v>
      </c>
      <c r="D9" s="73" t="s">
        <v>4</v>
      </c>
      <c r="E9" s="74" t="s">
        <v>5</v>
      </c>
      <c r="F9" s="73" t="s">
        <v>6</v>
      </c>
      <c r="G9" s="73" t="s">
        <v>7</v>
      </c>
      <c r="H9" s="73" t="s">
        <v>8</v>
      </c>
      <c r="I9" s="73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1" t="s">
        <v>18</v>
      </c>
      <c r="B11" s="59">
        <v>52.987697715289968</v>
      </c>
      <c r="C11" s="56">
        <v>9.277745155607775</v>
      </c>
      <c r="D11" s="56">
        <v>-20.480225988700585</v>
      </c>
      <c r="E11" s="115" t="s">
        <v>63</v>
      </c>
      <c r="F11" s="56">
        <v>18.515123739688399</v>
      </c>
      <c r="G11" s="56">
        <v>13.507779349363513</v>
      </c>
      <c r="H11" s="56">
        <v>29.629629629629584</v>
      </c>
      <c r="I11" s="56">
        <v>-13.6141636141636</v>
      </c>
    </row>
    <row r="12" spans="1:9" ht="14" customHeight="1" x14ac:dyDescent="0.45">
      <c r="A12" s="94" t="s">
        <v>19</v>
      </c>
      <c r="B12" s="57">
        <v>-9.7225015081439654</v>
      </c>
      <c r="C12" s="57">
        <v>-26.216053108026539</v>
      </c>
      <c r="D12" s="57">
        <v>-18.292682926829286</v>
      </c>
      <c r="E12" s="117" t="s">
        <v>63</v>
      </c>
      <c r="F12" s="57">
        <v>-23.752079866888543</v>
      </c>
      <c r="G12" s="57">
        <v>8.4795321637426646</v>
      </c>
      <c r="H12" s="57">
        <v>-1.2847965738758238</v>
      </c>
      <c r="I12" s="113" t="s">
        <v>63</v>
      </c>
    </row>
    <row r="13" spans="1:9" ht="14" customHeight="1" x14ac:dyDescent="0.45">
      <c r="A13" s="1" t="s">
        <v>20</v>
      </c>
      <c r="B13" s="56">
        <v>112.61306532663311</v>
      </c>
      <c r="C13" s="56">
        <v>103.79589296826381</v>
      </c>
      <c r="D13" s="56">
        <v>148.60139860139859</v>
      </c>
      <c r="E13" s="56">
        <v>99.21104536489149</v>
      </c>
      <c r="F13" s="56">
        <v>108.67237687366168</v>
      </c>
      <c r="G13" s="56">
        <v>121.2454212454213</v>
      </c>
      <c r="H13" s="56">
        <v>85.065645514223135</v>
      </c>
      <c r="I13" s="56">
        <v>101.07102593010153</v>
      </c>
    </row>
    <row r="14" spans="1:9" ht="14" customHeight="1" x14ac:dyDescent="0.45">
      <c r="A14" s="94" t="s">
        <v>21</v>
      </c>
      <c r="B14" s="58">
        <v>-2.1478521478521584</v>
      </c>
      <c r="C14" s="57">
        <v>-13.677372789606645</v>
      </c>
      <c r="D14" s="57">
        <v>10.878661087866082</v>
      </c>
      <c r="E14" s="118">
        <v>2.1906693711967407</v>
      </c>
      <c r="F14" s="61">
        <v>-12.704598597038174</v>
      </c>
      <c r="G14" s="57">
        <v>-2.3271276595745238</v>
      </c>
      <c r="H14" s="57">
        <v>45.332618025751081</v>
      </c>
      <c r="I14" s="57">
        <v>6.1273336524653166</v>
      </c>
    </row>
    <row r="15" spans="1:9" ht="14" customHeight="1" x14ac:dyDescent="0.45">
      <c r="A15" s="1" t="s">
        <v>22</v>
      </c>
      <c r="B15" s="115" t="s">
        <v>63</v>
      </c>
      <c r="C15" s="56">
        <v>71.950207468879611</v>
      </c>
      <c r="D15" s="56">
        <v>-2.3219814241486447</v>
      </c>
      <c r="E15" s="56">
        <v>-33.839150227617601</v>
      </c>
      <c r="F15" s="56">
        <v>-20.444444444444443</v>
      </c>
      <c r="G15" s="56">
        <v>-4.2196918955123781</v>
      </c>
      <c r="H15" s="56">
        <v>-3.5807291666666741</v>
      </c>
      <c r="I15" s="119" t="s">
        <v>63</v>
      </c>
    </row>
    <row r="16" spans="1:9" ht="14" customHeight="1" x14ac:dyDescent="0.45">
      <c r="A16" s="94" t="s">
        <v>23</v>
      </c>
      <c r="B16" s="57">
        <v>-34.039287906691214</v>
      </c>
      <c r="C16" s="57">
        <v>14.162646450723626</v>
      </c>
      <c r="D16" s="57">
        <v>-43.737166324435314</v>
      </c>
      <c r="E16" s="57">
        <v>-14.623438027693359</v>
      </c>
      <c r="F16" s="57">
        <v>13.026521060842434</v>
      </c>
      <c r="G16" s="57">
        <v>-40.203850509626236</v>
      </c>
      <c r="H16" s="57">
        <v>-8.9064261555805935</v>
      </c>
      <c r="I16" s="57">
        <v>33.740008413967182</v>
      </c>
    </row>
    <row r="17" spans="1:9" ht="14" customHeight="1" x14ac:dyDescent="0.45">
      <c r="A17" s="1" t="s">
        <v>24</v>
      </c>
      <c r="B17" s="56">
        <v>55.056179775280881</v>
      </c>
      <c r="C17" s="56">
        <v>71.751412429378576</v>
      </c>
      <c r="D17" s="56">
        <v>19.689484827099491</v>
      </c>
      <c r="E17" s="56">
        <v>56.897506925207743</v>
      </c>
      <c r="F17" s="56">
        <v>-7.6923076923076543</v>
      </c>
      <c r="G17" s="56">
        <v>18.241235888294671</v>
      </c>
      <c r="H17" s="56">
        <v>37.596471885336236</v>
      </c>
      <c r="I17" s="56">
        <v>44.40619621342514</v>
      </c>
    </row>
    <row r="18" spans="1:9" ht="14" customHeight="1" x14ac:dyDescent="0.45">
      <c r="A18" s="94" t="s">
        <v>25</v>
      </c>
      <c r="B18" s="57">
        <v>-7.1428571428571281</v>
      </c>
      <c r="C18" s="57">
        <v>-15.812917594654774</v>
      </c>
      <c r="D18" s="57">
        <v>44.705882352941153</v>
      </c>
      <c r="E18" s="57">
        <v>-5.5595667870035781</v>
      </c>
      <c r="F18" s="57">
        <v>-4.173622704507518</v>
      </c>
      <c r="G18" s="57">
        <v>-26.6769468003084</v>
      </c>
      <c r="H18" s="57">
        <v>-22.831050228310502</v>
      </c>
      <c r="I18" s="57">
        <v>-17.165443252399793</v>
      </c>
    </row>
    <row r="19" spans="1:9" ht="14" customHeight="1" x14ac:dyDescent="0.45">
      <c r="A19" s="1" t="s">
        <v>26</v>
      </c>
      <c r="B19" s="56">
        <v>72.465160980297867</v>
      </c>
      <c r="C19" s="56">
        <v>119.31207452525979</v>
      </c>
      <c r="D19" s="56">
        <v>116.67971808927172</v>
      </c>
      <c r="E19" s="56">
        <v>152.85535639849942</v>
      </c>
      <c r="F19" s="56">
        <v>145.29339853300735</v>
      </c>
      <c r="G19" s="56">
        <v>175.61542034370649</v>
      </c>
      <c r="H19" s="56">
        <v>200.54559625876857</v>
      </c>
      <c r="I19" s="56">
        <v>95.082612116443755</v>
      </c>
    </row>
    <row r="20" spans="1:9" ht="14" customHeight="1" x14ac:dyDescent="0.45">
      <c r="A20" s="94" t="s">
        <v>27</v>
      </c>
      <c r="B20" s="57">
        <v>3.3015407190021717</v>
      </c>
      <c r="C20" s="57">
        <v>66.954022988505741</v>
      </c>
      <c r="D20" s="57">
        <v>-46.617466174661757</v>
      </c>
      <c r="E20" s="57">
        <v>15.360000000000017</v>
      </c>
      <c r="F20" s="57">
        <v>20.036429872495411</v>
      </c>
      <c r="G20" s="57">
        <v>58.8614393125672</v>
      </c>
      <c r="H20" s="57">
        <v>100.51546391752578</v>
      </c>
      <c r="I20" s="120">
        <v>0.70472163495420848</v>
      </c>
    </row>
    <row r="21" spans="1:9" ht="14" customHeight="1" x14ac:dyDescent="0.45">
      <c r="A21" s="1" t="s">
        <v>28</v>
      </c>
      <c r="B21" s="56">
        <v>-9.7899326198969341</v>
      </c>
      <c r="C21" s="56">
        <v>-12.329286798179073</v>
      </c>
      <c r="D21" s="56">
        <v>-16.02929210740438</v>
      </c>
      <c r="E21" s="59">
        <v>-5.8252427184465772</v>
      </c>
      <c r="F21" s="59">
        <v>-16.597510373443981</v>
      </c>
      <c r="G21" s="59">
        <v>-18.90706023135219</v>
      </c>
      <c r="H21" s="56">
        <v>-3.9035087719298089</v>
      </c>
      <c r="I21" s="56">
        <v>-9.5046854082998617</v>
      </c>
    </row>
    <row r="22" spans="1:9" ht="14" customHeight="1" x14ac:dyDescent="0.45">
      <c r="A22" s="95" t="s">
        <v>29</v>
      </c>
      <c r="B22" s="63">
        <v>35.76799140708917</v>
      </c>
      <c r="C22" s="60">
        <v>85.601681555438731</v>
      </c>
      <c r="D22" s="60">
        <v>14.971428571428547</v>
      </c>
      <c r="E22" s="60">
        <v>50.850246845858528</v>
      </c>
      <c r="F22" s="60">
        <v>55.378281008749376</v>
      </c>
      <c r="G22" s="60">
        <v>79.924953095684813</v>
      </c>
      <c r="H22" s="60">
        <v>102.10772833723647</v>
      </c>
      <c r="I22" s="79">
        <v>41.2002017145739</v>
      </c>
    </row>
    <row r="23" spans="1:9" ht="14" customHeight="1" x14ac:dyDescent="0.45">
      <c r="A23" s="140" t="s">
        <v>30</v>
      </c>
      <c r="B23" s="140"/>
      <c r="C23" s="140"/>
      <c r="D23" s="140"/>
      <c r="E23" s="140"/>
      <c r="F23" s="140"/>
      <c r="G23" s="140"/>
      <c r="H23" s="140"/>
      <c r="I23" s="140"/>
    </row>
    <row r="24" spans="1:9" ht="14" customHeight="1" x14ac:dyDescent="0.45">
      <c r="A24" s="1" t="s">
        <v>48</v>
      </c>
      <c r="B24" s="115" t="s">
        <v>63</v>
      </c>
      <c r="C24" s="56">
        <v>0.74450084602375455</v>
      </c>
      <c r="D24" s="59">
        <v>15.949594959495951</v>
      </c>
      <c r="E24" s="115" t="s">
        <v>63</v>
      </c>
      <c r="F24" s="59">
        <v>1.0526315789473939</v>
      </c>
      <c r="G24" s="119" t="s">
        <v>63</v>
      </c>
      <c r="H24" s="56">
        <v>18.789727943045985</v>
      </c>
      <c r="I24" s="115" t="s">
        <v>63</v>
      </c>
    </row>
    <row r="25" spans="1:9" ht="14" customHeight="1" x14ac:dyDescent="0.45">
      <c r="A25" s="94" t="s">
        <v>31</v>
      </c>
      <c r="B25" s="57">
        <v>10.290697674418592</v>
      </c>
      <c r="C25" s="57">
        <v>27.914389799635675</v>
      </c>
      <c r="D25" s="57">
        <v>87.776484284051335</v>
      </c>
      <c r="E25" s="117" t="s">
        <v>63</v>
      </c>
      <c r="F25" s="57">
        <v>32.324455205811084</v>
      </c>
      <c r="G25" s="57">
        <v>57.310766337564601</v>
      </c>
      <c r="H25" s="57">
        <v>45.676146256529336</v>
      </c>
      <c r="I25" s="57">
        <v>32.114361702127717</v>
      </c>
    </row>
    <row r="26" spans="1:9" ht="14" customHeight="1" x14ac:dyDescent="0.45">
      <c r="A26" s="1" t="s">
        <v>32</v>
      </c>
      <c r="B26" s="59">
        <v>80.870712401055414</v>
      </c>
      <c r="C26" s="56">
        <v>-9.7446586763939251</v>
      </c>
      <c r="D26" s="115" t="s">
        <v>63</v>
      </c>
      <c r="E26" s="56">
        <v>19.565217391304323</v>
      </c>
      <c r="F26" s="56">
        <v>-1.1648977478644018</v>
      </c>
      <c r="G26" s="115" t="s">
        <v>63</v>
      </c>
      <c r="H26" s="56">
        <v>-5.3641399810836488</v>
      </c>
      <c r="I26" s="59">
        <v>-3.6968146942571667</v>
      </c>
    </row>
    <row r="27" spans="1:9" ht="14" customHeight="1" x14ac:dyDescent="0.45">
      <c r="A27" s="94" t="s">
        <v>33</v>
      </c>
      <c r="B27" s="117" t="s">
        <v>63</v>
      </c>
      <c r="C27" s="57">
        <v>18.959474260679077</v>
      </c>
      <c r="D27" s="57">
        <v>8.2393755420641757</v>
      </c>
      <c r="E27" s="113" t="s">
        <v>63</v>
      </c>
      <c r="F27" s="61">
        <v>9.296482412060314</v>
      </c>
      <c r="G27" s="113">
        <v>15.856630824372719</v>
      </c>
      <c r="H27" s="57">
        <v>16.268191268191213</v>
      </c>
      <c r="I27" s="113" t="s">
        <v>63</v>
      </c>
    </row>
    <row r="28" spans="1:9" ht="14" customHeight="1" x14ac:dyDescent="0.45">
      <c r="A28" s="1" t="s">
        <v>34</v>
      </c>
      <c r="B28" s="56">
        <v>6.5543071161048294</v>
      </c>
      <c r="C28" s="56">
        <v>14.766512410601562</v>
      </c>
      <c r="D28" s="56">
        <v>24.524886877828056</v>
      </c>
      <c r="E28" s="56">
        <v>3.0205278592375207</v>
      </c>
      <c r="F28" s="59">
        <v>11.754966887417218</v>
      </c>
      <c r="G28" s="56">
        <v>-6.25</v>
      </c>
      <c r="H28" s="56">
        <v>5.1742723679482738</v>
      </c>
      <c r="I28" s="56">
        <v>7.184385382059788</v>
      </c>
    </row>
    <row r="29" spans="1:9" ht="14" customHeight="1" x14ac:dyDescent="0.45">
      <c r="A29" s="94" t="s">
        <v>55</v>
      </c>
      <c r="B29" s="61">
        <v>-4.6861184792219017</v>
      </c>
      <c r="C29" s="61">
        <v>-36.436007348438459</v>
      </c>
      <c r="D29" s="57">
        <v>-45.781893004115219</v>
      </c>
      <c r="E29" s="57">
        <v>-5.0455501051156038</v>
      </c>
      <c r="F29" s="61">
        <v>-18.750000000000011</v>
      </c>
      <c r="G29" s="61">
        <v>26.288209606986925</v>
      </c>
      <c r="H29" s="57">
        <v>-19.502868068833667</v>
      </c>
      <c r="I29" s="57">
        <v>-4.2174320524836055</v>
      </c>
    </row>
    <row r="30" spans="1:9" ht="14" customHeight="1" x14ac:dyDescent="0.45">
      <c r="A30" s="1" t="s">
        <v>35</v>
      </c>
      <c r="B30" s="56">
        <v>35.453759723422642</v>
      </c>
      <c r="C30" s="56">
        <v>16.651604157252599</v>
      </c>
      <c r="D30" s="56">
        <v>32.243395409268061</v>
      </c>
      <c r="E30" s="56">
        <v>33.558271019514898</v>
      </c>
      <c r="F30" s="56">
        <v>25.370418507928271</v>
      </c>
      <c r="G30" s="56">
        <v>34.134703615342296</v>
      </c>
      <c r="H30" s="56">
        <v>36.472522310944157</v>
      </c>
      <c r="I30" s="56">
        <v>29.404927940492765</v>
      </c>
    </row>
    <row r="31" spans="1:9" ht="14" customHeight="1" x14ac:dyDescent="0.45">
      <c r="A31" s="94" t="s">
        <v>36</v>
      </c>
      <c r="B31" s="57">
        <v>-36.42266824085003</v>
      </c>
      <c r="C31" s="57">
        <v>-50.590551181102327</v>
      </c>
      <c r="D31" s="113" t="s">
        <v>63</v>
      </c>
      <c r="E31" s="113" t="s">
        <v>63</v>
      </c>
      <c r="F31" s="61">
        <v>-28.673732454884014</v>
      </c>
      <c r="G31" s="57">
        <v>-38.113496932515346</v>
      </c>
      <c r="H31" s="57">
        <v>-53.200675802515484</v>
      </c>
      <c r="I31" s="113" t="s">
        <v>63</v>
      </c>
    </row>
    <row r="32" spans="1:9" ht="14" customHeight="1" x14ac:dyDescent="0.45">
      <c r="A32" s="1" t="s">
        <v>37</v>
      </c>
      <c r="B32" s="62">
        <v>-10.280668558814243</v>
      </c>
      <c r="C32" s="62">
        <v>-60.274953458398961</v>
      </c>
      <c r="D32" s="56">
        <v>-51.767637439651139</v>
      </c>
      <c r="E32" s="119" t="s">
        <v>63</v>
      </c>
      <c r="F32" s="56">
        <v>-57.912613864443415</v>
      </c>
      <c r="G32" s="115" t="s">
        <v>63</v>
      </c>
      <c r="H32" s="56">
        <v>-59.451120493666799</v>
      </c>
      <c r="I32" s="62">
        <v>-48.998060762766663</v>
      </c>
    </row>
    <row r="33" spans="1:9" ht="14" customHeight="1" x14ac:dyDescent="0.45">
      <c r="A33" s="94" t="s">
        <v>51</v>
      </c>
      <c r="B33" s="113" t="s">
        <v>63</v>
      </c>
      <c r="C33" s="57">
        <v>-13.52585002328831</v>
      </c>
      <c r="D33" s="57">
        <v>-22.628145386766086</v>
      </c>
      <c r="E33" s="57">
        <v>-5.4163475216106765</v>
      </c>
      <c r="F33" s="57">
        <v>-12.718486530947947</v>
      </c>
      <c r="G33" s="57">
        <v>-8.7113972437380625</v>
      </c>
      <c r="H33" s="57">
        <v>-16.801262415297469</v>
      </c>
      <c r="I33" s="57">
        <v>-8.1990573276334526</v>
      </c>
    </row>
    <row r="34" spans="1:9" ht="14" customHeight="1" x14ac:dyDescent="0.45">
      <c r="A34" s="1" t="s">
        <v>38</v>
      </c>
      <c r="B34" s="59">
        <v>-15.190720499665378</v>
      </c>
      <c r="C34" s="56">
        <v>-16.018251681075888</v>
      </c>
      <c r="D34" s="56">
        <v>-15.121293800539071</v>
      </c>
      <c r="E34" s="115" t="s">
        <v>63</v>
      </c>
      <c r="F34" s="56">
        <v>-25.072496096364038</v>
      </c>
      <c r="G34" s="56">
        <v>-2.8971028971028767</v>
      </c>
      <c r="H34" s="56">
        <v>-9.3641252768111194</v>
      </c>
      <c r="I34" s="56">
        <v>-28.24989482541018</v>
      </c>
    </row>
    <row r="35" spans="1:9" ht="14" customHeight="1" x14ac:dyDescent="0.45">
      <c r="A35" s="94" t="s">
        <v>39</v>
      </c>
      <c r="B35" s="57">
        <v>22.30158730158729</v>
      </c>
      <c r="C35" s="57">
        <v>61.22047244094486</v>
      </c>
      <c r="D35" s="57">
        <v>20.793201133144468</v>
      </c>
      <c r="E35" s="57">
        <v>16.290018832391716</v>
      </c>
      <c r="F35" s="57">
        <v>30.237580993520609</v>
      </c>
      <c r="G35" s="57">
        <v>20.194230219937161</v>
      </c>
      <c r="H35" s="57">
        <v>77.959183673469369</v>
      </c>
      <c r="I35" s="57">
        <v>47.613882863340542</v>
      </c>
    </row>
    <row r="36" spans="1:9" ht="14" customHeight="1" x14ac:dyDescent="0.45">
      <c r="A36" s="1" t="s">
        <v>58</v>
      </c>
      <c r="B36" s="115" t="s">
        <v>63</v>
      </c>
      <c r="C36" s="56">
        <v>-25.406032482598629</v>
      </c>
      <c r="D36" s="56">
        <v>-24.929775280898859</v>
      </c>
      <c r="E36" s="59">
        <v>-28.590604026845647</v>
      </c>
      <c r="F36" s="121">
        <v>-26.582278481012679</v>
      </c>
      <c r="G36" s="59">
        <v>-36.906318082788673</v>
      </c>
      <c r="H36" s="56">
        <v>-25.361101780315742</v>
      </c>
      <c r="I36" s="56">
        <v>-41.263762565820983</v>
      </c>
    </row>
    <row r="37" spans="1:9" ht="14" customHeight="1" x14ac:dyDescent="0.45">
      <c r="A37" s="94" t="s">
        <v>59</v>
      </c>
      <c r="B37" s="117" t="s">
        <v>63</v>
      </c>
      <c r="C37" s="61">
        <v>-35.166093928980523</v>
      </c>
      <c r="D37" s="57">
        <v>-34.564459930313596</v>
      </c>
      <c r="E37" s="61">
        <v>-31.355337078651669</v>
      </c>
      <c r="F37" s="57">
        <v>-25.187032418952558</v>
      </c>
      <c r="G37" s="57">
        <v>-23.497091144149984</v>
      </c>
      <c r="H37" s="57">
        <v>-15.254237288135586</v>
      </c>
      <c r="I37" s="57">
        <v>-22.94949494949492</v>
      </c>
    </row>
    <row r="38" spans="1:9" ht="14" customHeight="1" x14ac:dyDescent="0.45">
      <c r="A38" s="1" t="s">
        <v>40</v>
      </c>
      <c r="B38" s="56">
        <v>30.199764982373644</v>
      </c>
      <c r="C38" s="56">
        <v>12.824675324675328</v>
      </c>
      <c r="D38" s="56">
        <v>31.314285714285738</v>
      </c>
      <c r="E38" s="59">
        <v>27.526273241713817</v>
      </c>
      <c r="F38" s="59">
        <v>-8.1203007518796824</v>
      </c>
      <c r="G38" s="115" t="s">
        <v>63</v>
      </c>
      <c r="H38" s="59">
        <v>-20.750620347394509</v>
      </c>
      <c r="I38" s="59">
        <v>4.2681094078749426</v>
      </c>
    </row>
    <row r="39" spans="1:9" ht="14" customHeight="1" x14ac:dyDescent="0.45">
      <c r="A39" s="95" t="s">
        <v>41</v>
      </c>
      <c r="B39" s="60">
        <v>-31.813269937324396</v>
      </c>
      <c r="C39" s="60">
        <v>-18.400583373845404</v>
      </c>
      <c r="D39" s="60">
        <v>-23.299435028248617</v>
      </c>
      <c r="E39" s="60">
        <v>-29.897980428898631</v>
      </c>
      <c r="F39" s="60">
        <v>-25.081585081585079</v>
      </c>
      <c r="G39" s="63">
        <v>-7.1302816901408494</v>
      </c>
      <c r="H39" s="60">
        <v>-34.343936381709739</v>
      </c>
      <c r="I39" s="60">
        <v>-16.870588235294083</v>
      </c>
    </row>
    <row r="40" spans="1:9" ht="14" customHeight="1" x14ac:dyDescent="0.45">
      <c r="A40" s="140" t="s">
        <v>42</v>
      </c>
      <c r="B40" s="140"/>
      <c r="C40" s="140"/>
      <c r="D40" s="140"/>
      <c r="E40" s="140"/>
      <c r="F40" s="140"/>
      <c r="G40" s="140"/>
      <c r="H40" s="140"/>
      <c r="I40" s="140"/>
    </row>
    <row r="41" spans="1:9" ht="14" customHeight="1" x14ac:dyDescent="0.45">
      <c r="A41" s="1" t="s">
        <v>43</v>
      </c>
      <c r="B41" s="119" t="s">
        <v>63</v>
      </c>
      <c r="C41" s="56">
        <v>-54.478656403079071</v>
      </c>
      <c r="D41" s="56">
        <v>-13.37308347529811</v>
      </c>
      <c r="E41" s="119" t="s">
        <v>63</v>
      </c>
      <c r="F41" s="56">
        <v>-57.693574958813841</v>
      </c>
      <c r="G41" s="56">
        <v>-31.574625333607088</v>
      </c>
      <c r="H41" s="56">
        <v>-57.184750733137832</v>
      </c>
      <c r="I41" s="59">
        <v>-48.816364054240381</v>
      </c>
    </row>
    <row r="42" spans="1:9" ht="14" customHeight="1" x14ac:dyDescent="0.45">
      <c r="A42" s="94" t="s">
        <v>44</v>
      </c>
      <c r="B42" s="57">
        <v>91.814014407334639</v>
      </c>
      <c r="C42" s="57">
        <v>186.97996918335895</v>
      </c>
      <c r="D42" s="57">
        <v>188.37970540098209</v>
      </c>
      <c r="E42" s="57">
        <v>137.65822784810115</v>
      </c>
      <c r="F42" s="57">
        <v>202.36294896030245</v>
      </c>
      <c r="G42" s="61">
        <v>185.45897644191714</v>
      </c>
      <c r="H42" s="57">
        <v>159.74665728360321</v>
      </c>
      <c r="I42" s="57">
        <v>184.67824310520936</v>
      </c>
    </row>
    <row r="43" spans="1:9" ht="14" customHeight="1" x14ac:dyDescent="0.45">
      <c r="A43" s="1" t="s">
        <v>52</v>
      </c>
      <c r="B43" s="115" t="s">
        <v>63</v>
      </c>
      <c r="C43" s="56">
        <v>54.20168067226885</v>
      </c>
      <c r="D43" s="56">
        <v>46.126636009904473</v>
      </c>
      <c r="E43" s="56">
        <v>47.940649782553038</v>
      </c>
      <c r="F43" s="56">
        <v>11.512027491408961</v>
      </c>
      <c r="G43" s="56">
        <v>40.369580668088112</v>
      </c>
      <c r="H43" s="56">
        <v>14.468211527035058</v>
      </c>
      <c r="I43" s="56">
        <v>18.24041250402837</v>
      </c>
    </row>
    <row r="44" spans="1:9" ht="14" customHeight="1" x14ac:dyDescent="0.45">
      <c r="A44" s="94" t="s">
        <v>45</v>
      </c>
      <c r="B44" s="57">
        <v>-35.790658413055688</v>
      </c>
      <c r="C44" s="57">
        <v>-18.057324840764345</v>
      </c>
      <c r="D44" s="57">
        <v>-21.745883814849375</v>
      </c>
      <c r="E44" s="57">
        <v>-41.658653846153811</v>
      </c>
      <c r="F44" s="57">
        <v>-22.65932336742722</v>
      </c>
      <c r="G44" s="57">
        <v>-11.617161716171609</v>
      </c>
      <c r="H44" s="57">
        <v>-26.182618261826242</v>
      </c>
      <c r="I44" s="57">
        <v>-29.480000000000029</v>
      </c>
    </row>
    <row r="45" spans="1:9" ht="14" customHeight="1" x14ac:dyDescent="0.45">
      <c r="A45" s="96" t="s">
        <v>46</v>
      </c>
      <c r="B45" s="64">
        <v>-49.617931737137035</v>
      </c>
      <c r="C45" s="64">
        <v>-8.7012987012987217</v>
      </c>
      <c r="D45" s="64">
        <v>-29.952524816573177</v>
      </c>
      <c r="E45" s="64">
        <v>-57.994428969359326</v>
      </c>
      <c r="F45" s="64">
        <v>-40.864197530864189</v>
      </c>
      <c r="G45" s="64">
        <v>-40.065816536404789</v>
      </c>
      <c r="H45" s="64">
        <v>-31.545741324921138</v>
      </c>
      <c r="I45" s="64">
        <v>-35.943517329910136</v>
      </c>
    </row>
    <row r="46" spans="1:9" x14ac:dyDescent="0.45">
      <c r="A46" s="65"/>
      <c r="B46" s="75"/>
      <c r="C46" s="75"/>
      <c r="D46" s="75"/>
      <c r="E46" s="75"/>
      <c r="F46" s="75"/>
      <c r="G46" s="75"/>
      <c r="H46" s="75"/>
      <c r="I46" s="75"/>
    </row>
    <row r="47" spans="1:9" x14ac:dyDescent="0.45">
      <c r="A47" s="65" t="s">
        <v>12</v>
      </c>
      <c r="B47" s="66"/>
      <c r="C47" s="67"/>
      <c r="D47" s="67"/>
      <c r="E47" s="66"/>
      <c r="F47" s="67"/>
      <c r="G47" s="67"/>
      <c r="H47" s="67"/>
      <c r="I47" s="67"/>
    </row>
    <row r="48" spans="1:9" x14ac:dyDescent="0.45">
      <c r="A48" s="68" t="s">
        <v>53</v>
      </c>
      <c r="B48" s="68"/>
      <c r="C48" s="68"/>
      <c r="D48" s="68"/>
      <c r="E48" s="68"/>
      <c r="F48" s="68"/>
      <c r="G48" s="68"/>
      <c r="H48" s="68"/>
      <c r="I48" s="68"/>
    </row>
    <row r="49" spans="1:9" x14ac:dyDescent="0.45">
      <c r="A49" s="69" t="s">
        <v>14</v>
      </c>
      <c r="B49" s="66"/>
      <c r="C49" s="67"/>
      <c r="D49" s="67"/>
      <c r="E49" s="66"/>
      <c r="F49" s="67"/>
      <c r="G49" s="67"/>
      <c r="H49" s="67"/>
      <c r="I49" s="67"/>
    </row>
    <row r="50" spans="1:9" x14ac:dyDescent="0.45">
      <c r="A50" s="70" t="s">
        <v>15</v>
      </c>
      <c r="B50" s="71"/>
      <c r="C50" s="71"/>
      <c r="D50" s="71"/>
      <c r="E50" s="71"/>
      <c r="F50" s="71"/>
      <c r="G50" s="71"/>
      <c r="H50" s="71"/>
      <c r="I50" s="71"/>
    </row>
    <row r="51" spans="1:9" x14ac:dyDescent="0.45">
      <c r="A51" s="70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2" t="str">
        <f>+Índice!A14</f>
        <v>Fecha de actualización: 9 de agosto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0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0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0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Anexo 1</vt:lpstr>
      <vt:lpstr>Anexo 2</vt:lpstr>
      <vt:lpstr>Anexo 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2024-08-06T19:56:03Z</dcterms:modified>
</cp:coreProperties>
</file>