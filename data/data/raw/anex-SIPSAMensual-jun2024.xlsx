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https://danegovco-my.sharepoint.com/personal/ebhernandezg_dane_gov_co/Documents/VARIOS/MENSUAL/Junio 24/"/>
    </mc:Choice>
  </mc:AlternateContent>
  <xr:revisionPtr revIDLastSave="10" documentId="13_ncr:1_{53BA0858-DB16-4412-B71E-84F95A8AF140}" xr6:coauthVersionLast="47" xr6:coauthVersionMax="47" xr10:uidLastSave="{ED2B2AD2-483F-4529-BD75-2A2D520DA1EB}"/>
  <bookViews>
    <workbookView xWindow="-110" yWindow="-110" windowWidth="19420" windowHeight="10420" tabRatio="815" xr2:uid="{00000000-000D-0000-FFFF-FFFF00000000}"/>
  </bookViews>
  <sheets>
    <sheet name="Índice" sheetId="519" r:id="rId1"/>
    <sheet name="Anexo 1" sheetId="520" r:id="rId2"/>
    <sheet name="Anexo 2" sheetId="521" r:id="rId3"/>
    <sheet name="Anexo 3" sheetId="5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" i="522" l="1"/>
  <c r="A12" i="519" s="1"/>
  <c r="A7" i="521"/>
  <c r="A11" i="519" s="1"/>
  <c r="A7" i="520"/>
  <c r="A80" i="520"/>
  <c r="A52" i="521"/>
  <c r="A52" i="522"/>
  <c r="A10" i="519" l="1"/>
</calcChain>
</file>

<file path=xl/sharedStrings.xml><?xml version="1.0" encoding="utf-8"?>
<sst xmlns="http://schemas.openxmlformats.org/spreadsheetml/2006/main" count="366" uniqueCount="91">
  <si>
    <t>Sistema de Información de Precios y Abastecimiento del Sector Agropecuario -SIPSA- 
Precios Mayoristas</t>
  </si>
  <si>
    <t>Precio $/Kg</t>
  </si>
  <si>
    <t>Barranquilla</t>
  </si>
  <si>
    <t>Bogotá</t>
  </si>
  <si>
    <t>Bucaramanga</t>
  </si>
  <si>
    <t>Cartagena</t>
  </si>
  <si>
    <t>Cali</t>
  </si>
  <si>
    <t>Cúcuta</t>
  </si>
  <si>
    <t>Medellín</t>
  </si>
  <si>
    <t>Pereira</t>
  </si>
  <si>
    <t>Precio</t>
  </si>
  <si>
    <t>Var %</t>
  </si>
  <si>
    <t>*Variedad predominante en el mercado</t>
  </si>
  <si>
    <t>** Los precios reportados para los huevos son $/unidad y los del aceite vegetal mezcla $/litro.</t>
  </si>
  <si>
    <t>n.d.: no disponible</t>
  </si>
  <si>
    <t xml:space="preserve"> -: no es posible calcular la variación</t>
  </si>
  <si>
    <t>Comportamiento de los precios mayoristas de los principales alimentos en las principales ocho ciudades.</t>
  </si>
  <si>
    <t>Hortalizas y verduras</t>
  </si>
  <si>
    <t>Ahuyama</t>
  </si>
  <si>
    <t>Arveja verde en vaina</t>
  </si>
  <si>
    <t>Cebolla cabezona blanca</t>
  </si>
  <si>
    <t>Cebolla junca</t>
  </si>
  <si>
    <t>Chócolo mazorca</t>
  </si>
  <si>
    <t>Habichuela</t>
  </si>
  <si>
    <t>Lechuga Batavia</t>
  </si>
  <si>
    <t>Pepino cohombro</t>
  </si>
  <si>
    <t>Pimentón</t>
  </si>
  <si>
    <t>Remolacha</t>
  </si>
  <si>
    <t>Tomate*</t>
  </si>
  <si>
    <t>Zanahoria</t>
  </si>
  <si>
    <t>Frutas frescas</t>
  </si>
  <si>
    <t>Banano*</t>
  </si>
  <si>
    <t>Coco</t>
  </si>
  <si>
    <t>Granadilla</t>
  </si>
  <si>
    <t>Guayaba pera</t>
  </si>
  <si>
    <t>Lulo</t>
  </si>
  <si>
    <t>Mandarina*</t>
  </si>
  <si>
    <t>Mango Tommy</t>
  </si>
  <si>
    <t>Maracuyá</t>
  </si>
  <si>
    <t>Mora de Castilla</t>
  </si>
  <si>
    <t>Piña *</t>
  </si>
  <si>
    <t>Tomate de árbol</t>
  </si>
  <si>
    <t>Tubérculos y plátanos</t>
  </si>
  <si>
    <t>Arracacha*</t>
  </si>
  <si>
    <t>Papa negra*</t>
  </si>
  <si>
    <t>Plátano hartón verde</t>
  </si>
  <si>
    <t>Yuca*</t>
  </si>
  <si>
    <t>SISTEMA DE INFORMACIÓN DE PRECIOS Y ABASTECIMIENTO DEL SECTOR AGROPECUARIO 
-SIPSA- 
PRECIOS MAYORISTAS</t>
  </si>
  <si>
    <t>Aguacate papelillo</t>
  </si>
  <si>
    <t>Var%: Variación porcentual con respecto al promedio del mes anterior. Dado que la variedad predominante en el mercado puede 
cambiar de un período a otro, las variaciones reportadas pueden obedecer a estos cambios, al igual que el mercado reportado en cada ciudad.</t>
  </si>
  <si>
    <t>Producto</t>
  </si>
  <si>
    <t>Manzana verde importada</t>
  </si>
  <si>
    <t>Papa criolla</t>
  </si>
  <si>
    <t>Var%: Variación porcentual con respecto al promedio del mismo mes del año anterior</t>
  </si>
  <si>
    <t>Var%: Variación porcentual en lo corrido del año</t>
  </si>
  <si>
    <t>Limón Tahití</t>
  </si>
  <si>
    <t>Papaya*</t>
  </si>
  <si>
    <t>Naranja*</t>
  </si>
  <si>
    <t>n.d.</t>
  </si>
  <si>
    <t>-</t>
  </si>
  <si>
    <t>Uva red globe nacional</t>
  </si>
  <si>
    <t>Naranja Valencia</t>
  </si>
  <si>
    <t>Papaya Maradol</t>
  </si>
  <si>
    <t>Junio de 2024</t>
  </si>
  <si>
    <t>Papa criolla limpia</t>
  </si>
  <si>
    <t>Granos, cárnicos y procesados</t>
  </si>
  <si>
    <t>Arroz de primera</t>
  </si>
  <si>
    <t>Arveja verde seca importada</t>
  </si>
  <si>
    <t>Fríjol seco*</t>
  </si>
  <si>
    <t>Garbanzo importado</t>
  </si>
  <si>
    <t>Lenteja importada</t>
  </si>
  <si>
    <t>Maíz blanco trillado</t>
  </si>
  <si>
    <t>Huevo tipo AA**</t>
  </si>
  <si>
    <t>Queso costeño</t>
  </si>
  <si>
    <t>Carne de cerdo, brazo sin hueso</t>
  </si>
  <si>
    <t>Carne de res, lomo fino</t>
  </si>
  <si>
    <t>Alas de pollo con costillar</t>
  </si>
  <si>
    <t>Aceite vegetal mezcla**</t>
  </si>
  <si>
    <t>Azúcar sulfitada</t>
  </si>
  <si>
    <t>Chocolate dulce</t>
  </si>
  <si>
    <t>Galletas saladas</t>
  </si>
  <si>
    <t>Harina de trigo</t>
  </si>
  <si>
    <t>Harina precocida de maíz</t>
  </si>
  <si>
    <t>Jugo instantáneo (sobre)</t>
  </si>
  <si>
    <t>Lomitos de atún en lata</t>
  </si>
  <si>
    <t>Margarina</t>
  </si>
  <si>
    <t>Panela*</t>
  </si>
  <si>
    <t>Pastas alimenticias</t>
  </si>
  <si>
    <t>Salsa de tomate doy pack</t>
  </si>
  <si>
    <t>Sardinas en lata</t>
  </si>
  <si>
    <t>Fecha de actualización: 9 de julio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</si>
</sst>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-* #,##0.00\ [$€]_-;\-* #,##0.00\ [$€]_-;_-* &quot;-&quot;??\ [$€]_-;_-@_-"/>
    <numFmt numFmtId="167" formatCode="_(* #,##0_);_(* \(#,##0\);_(* &quot;-&quot;??_);_(@_)"/>
  </numFmts>
  <fonts count="32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8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sz val="10"/>
      <color theme="4" tint="-0.249977111117893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4" applyNumberFormat="0" applyAlignment="0" applyProtection="0"/>
    <xf numFmtId="0" fontId="9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4" applyNumberFormat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2" fillId="28" borderId="0" applyNumberFormat="0" applyBorder="0" applyAlignment="0" applyProtection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29" borderId="0" applyNumberFormat="0" applyBorder="0" applyAlignment="0" applyProtection="0"/>
    <xf numFmtId="0" fontId="6" fillId="0" borderId="0"/>
    <xf numFmtId="0" fontId="6" fillId="30" borderId="6" applyNumberFormat="0" applyFon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20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8">
    <xf numFmtId="0" fontId="0" fillId="0" borderId="0" xfId="0"/>
    <xf numFmtId="0" fontId="17" fillId="0" borderId="0" xfId="0" applyFont="1"/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vertical="center" wrapText="1"/>
    </xf>
    <xf numFmtId="0" fontId="20" fillId="0" borderId="0" xfId="0" applyFont="1"/>
    <xf numFmtId="167" fontId="21" fillId="0" borderId="2" xfId="33" applyNumberFormat="1" applyFont="1" applyFill="1" applyBorder="1" applyAlignment="1">
      <alignment horizontal="center"/>
    </xf>
    <xf numFmtId="167" fontId="24" fillId="0" borderId="0" xfId="33" applyNumberFormat="1" applyFont="1" applyAlignment="1">
      <alignment horizontal="right"/>
    </xf>
    <xf numFmtId="2" fontId="24" fillId="0" borderId="0" xfId="33" applyNumberFormat="1" applyFont="1" applyAlignment="1">
      <alignment horizontal="right"/>
    </xf>
    <xf numFmtId="0" fontId="22" fillId="0" borderId="0" xfId="0" applyFont="1"/>
    <xf numFmtId="0" fontId="20" fillId="31" borderId="0" xfId="0" applyFont="1" applyFill="1"/>
    <xf numFmtId="0" fontId="28" fillId="31" borderId="0" xfId="0" applyFont="1" applyFill="1" applyAlignment="1">
      <alignment vertical="center"/>
    </xf>
    <xf numFmtId="0" fontId="25" fillId="32" borderId="0" xfId="0" applyFont="1" applyFill="1"/>
    <xf numFmtId="0" fontId="20" fillId="32" borderId="0" xfId="0" applyFont="1" applyFill="1"/>
    <xf numFmtId="0" fontId="19" fillId="31" borderId="0" xfId="0" applyFont="1" applyFill="1"/>
    <xf numFmtId="0" fontId="25" fillId="31" borderId="0" xfId="0" applyFont="1" applyFill="1"/>
    <xf numFmtId="0" fontId="23" fillId="0" borderId="0" xfId="0" applyFont="1"/>
    <xf numFmtId="0" fontId="17" fillId="0" borderId="0" xfId="0" applyFont="1" applyAlignment="1">
      <alignment horizontal="right"/>
    </xf>
    <xf numFmtId="0" fontId="19" fillId="33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right"/>
    </xf>
    <xf numFmtId="0" fontId="2" fillId="31" borderId="0" xfId="31" quotePrefix="1" applyFill="1" applyBorder="1" applyAlignment="1" applyProtection="1">
      <alignment vertical="center"/>
    </xf>
    <xf numFmtId="4" fontId="21" fillId="0" borderId="2" xfId="33" applyNumberFormat="1" applyFont="1" applyFill="1" applyBorder="1" applyAlignment="1">
      <alignment horizontal="center"/>
    </xf>
    <xf numFmtId="0" fontId="23" fillId="33" borderId="0" xfId="36" applyFont="1" applyFill="1"/>
    <xf numFmtId="3" fontId="24" fillId="33" borderId="0" xfId="34" applyNumberFormat="1" applyFont="1" applyFill="1" applyBorder="1" applyAlignment="1">
      <alignment horizontal="right"/>
    </xf>
    <xf numFmtId="3" fontId="24" fillId="33" borderId="0" xfId="34" applyNumberFormat="1" applyFont="1" applyFill="1" applyBorder="1" applyAlignment="1">
      <alignment horizontal="right" vertical="center"/>
    </xf>
    <xf numFmtId="0" fontId="23" fillId="0" borderId="0" xfId="36" applyFont="1"/>
    <xf numFmtId="3" fontId="24" fillId="0" borderId="0" xfId="34" applyNumberFormat="1" applyFont="1" applyFill="1" applyBorder="1" applyAlignment="1">
      <alignment horizontal="right"/>
    </xf>
    <xf numFmtId="3" fontId="24" fillId="0" borderId="0" xfId="34" applyNumberFormat="1" applyFont="1" applyFill="1" applyBorder="1" applyAlignment="1">
      <alignment horizontal="right" vertical="center"/>
    </xf>
    <xf numFmtId="3" fontId="24" fillId="33" borderId="0" xfId="34" applyNumberFormat="1" applyFont="1" applyFill="1" applyBorder="1" applyAlignment="1">
      <alignment horizontal="center" vertical="center"/>
    </xf>
    <xf numFmtId="3" fontId="24" fillId="0" borderId="0" xfId="34" applyNumberFormat="1" applyFont="1" applyFill="1" applyBorder="1" applyAlignment="1">
      <alignment horizontal="right" vertical="justify"/>
    </xf>
    <xf numFmtId="3" fontId="24" fillId="0" borderId="0" xfId="34" applyNumberFormat="1" applyFont="1" applyFill="1" applyBorder="1" applyAlignment="1">
      <alignment horizontal="center" vertical="center"/>
    </xf>
    <xf numFmtId="0" fontId="23" fillId="0" borderId="2" xfId="36" applyFont="1" applyBorder="1"/>
    <xf numFmtId="3" fontId="24" fillId="0" borderId="2" xfId="34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0" fontId="23" fillId="33" borderId="0" xfId="0" applyFont="1" applyFill="1"/>
    <xf numFmtId="3" fontId="24" fillId="33" borderId="0" xfId="0" applyNumberFormat="1" applyFont="1" applyFill="1" applyAlignment="1">
      <alignment horizontal="right"/>
    </xf>
    <xf numFmtId="167" fontId="24" fillId="0" borderId="0" xfId="34" applyNumberFormat="1" applyFont="1" applyFill="1" applyBorder="1" applyAlignment="1">
      <alignment horizontal="right"/>
    </xf>
    <xf numFmtId="2" fontId="24" fillId="0" borderId="0" xfId="34" applyNumberFormat="1" applyFont="1" applyFill="1" applyBorder="1" applyAlignment="1">
      <alignment horizontal="right"/>
    </xf>
    <xf numFmtId="0" fontId="24" fillId="0" borderId="0" xfId="34" applyNumberFormat="1" applyFont="1" applyFill="1" applyBorder="1" applyAlignment="1">
      <alignment horizontal="right" vertical="center"/>
    </xf>
    <xf numFmtId="0" fontId="20" fillId="0" borderId="0" xfId="36" applyFont="1"/>
    <xf numFmtId="167" fontId="24" fillId="0" borderId="0" xfId="34" applyNumberFormat="1" applyFont="1" applyAlignment="1">
      <alignment horizontal="right"/>
    </xf>
    <xf numFmtId="2" fontId="24" fillId="0" borderId="0" xfId="34" applyNumberFormat="1" applyFont="1" applyAlignment="1">
      <alignment horizontal="right"/>
    </xf>
    <xf numFmtId="0" fontId="23" fillId="0" borderId="0" xfId="36" applyFont="1" applyAlignment="1">
      <alignment vertical="center"/>
    </xf>
    <xf numFmtId="0" fontId="23" fillId="0" borderId="0" xfId="36" applyFont="1" applyAlignment="1">
      <alignment horizontal="right"/>
    </xf>
    <xf numFmtId="2" fontId="23" fillId="0" borderId="0" xfId="34" applyNumberFormat="1" applyFont="1" applyFill="1" applyAlignment="1">
      <alignment horizontal="right"/>
    </xf>
    <xf numFmtId="167" fontId="21" fillId="0" borderId="0" xfId="34" applyNumberFormat="1" applyFont="1" applyFill="1" applyAlignment="1">
      <alignment horizontal="right"/>
    </xf>
    <xf numFmtId="167" fontId="23" fillId="0" borderId="0" xfId="34" applyNumberFormat="1" applyFont="1" applyFill="1" applyAlignment="1">
      <alignment horizontal="right"/>
    </xf>
    <xf numFmtId="2" fontId="21" fillId="0" borderId="0" xfId="34" applyNumberFormat="1" applyFont="1" applyFill="1" applyAlignment="1">
      <alignment horizontal="right"/>
    </xf>
    <xf numFmtId="0" fontId="24" fillId="0" borderId="0" xfId="36" applyFont="1"/>
    <xf numFmtId="0" fontId="17" fillId="0" borderId="0" xfId="43" applyFont="1"/>
    <xf numFmtId="0" fontId="19" fillId="33" borderId="0" xfId="43" applyFont="1" applyFill="1" applyAlignment="1">
      <alignment vertical="center"/>
    </xf>
    <xf numFmtId="0" fontId="29" fillId="33" borderId="0" xfId="43" applyFont="1" applyFill="1" applyAlignment="1">
      <alignment vertical="center" wrapText="1"/>
    </xf>
    <xf numFmtId="0" fontId="29" fillId="0" borderId="1" xfId="43" applyFont="1" applyBorder="1" applyAlignment="1">
      <alignment horizontal="center" vertical="center"/>
    </xf>
    <xf numFmtId="10" fontId="29" fillId="0" borderId="1" xfId="44" applyNumberFormat="1" applyFont="1" applyFill="1" applyBorder="1" applyAlignment="1">
      <alignment horizontal="center"/>
    </xf>
    <xf numFmtId="10" fontId="30" fillId="0" borderId="1" xfId="44" applyNumberFormat="1" applyFont="1" applyFill="1" applyBorder="1" applyAlignment="1">
      <alignment horizontal="center"/>
    </xf>
    <xf numFmtId="0" fontId="20" fillId="0" borderId="0" xfId="43" applyFont="1"/>
    <xf numFmtId="0" fontId="29" fillId="33" borderId="0" xfId="43" applyFont="1" applyFill="1" applyAlignment="1">
      <alignment horizontal="centerContinuous"/>
    </xf>
    <xf numFmtId="4" fontId="31" fillId="0" borderId="0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justify"/>
    </xf>
    <xf numFmtId="4" fontId="31" fillId="0" borderId="0" xfId="33" applyNumberFormat="1" applyFont="1" applyFill="1" applyBorder="1" applyAlignment="1">
      <alignment horizontal="right" vertical="center"/>
    </xf>
    <xf numFmtId="4" fontId="31" fillId="33" borderId="2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center"/>
    </xf>
    <xf numFmtId="4" fontId="31" fillId="0" borderId="0" xfId="33" applyNumberFormat="1" applyFont="1" applyFill="1" applyBorder="1" applyAlignment="1" applyProtection="1">
      <alignment horizontal="right"/>
    </xf>
    <xf numFmtId="4" fontId="31" fillId="33" borderId="2" xfId="33" applyNumberFormat="1" applyFont="1" applyFill="1" applyBorder="1" applyAlignment="1">
      <alignment horizontal="right" vertical="center"/>
    </xf>
    <xf numFmtId="4" fontId="31" fillId="0" borderId="2" xfId="33" applyNumberFormat="1" applyFont="1" applyFill="1" applyBorder="1" applyAlignment="1">
      <alignment horizontal="right"/>
    </xf>
    <xf numFmtId="0" fontId="23" fillId="0" borderId="0" xfId="43" applyFont="1"/>
    <xf numFmtId="10" fontId="17" fillId="0" borderId="0" xfId="45" applyNumberFormat="1" applyFont="1" applyFill="1" applyAlignment="1">
      <alignment horizontal="right"/>
    </xf>
    <xf numFmtId="10" fontId="29" fillId="0" borderId="0" xfId="45" applyNumberFormat="1" applyFont="1" applyFill="1" applyAlignment="1">
      <alignment horizontal="right"/>
    </xf>
    <xf numFmtId="0" fontId="23" fillId="0" borderId="0" xfId="43" applyFont="1" applyAlignment="1">
      <alignment vertical="center"/>
    </xf>
    <xf numFmtId="0" fontId="23" fillId="0" borderId="0" xfId="43" applyFont="1" applyAlignment="1">
      <alignment horizontal="left"/>
    </xf>
    <xf numFmtId="0" fontId="24" fillId="0" borderId="0" xfId="43" applyFont="1"/>
    <xf numFmtId="10" fontId="24" fillId="0" borderId="0" xfId="45" applyNumberFormat="1" applyFont="1" applyAlignment="1">
      <alignment horizontal="right"/>
    </xf>
    <xf numFmtId="0" fontId="22" fillId="0" borderId="0" xfId="43" applyFont="1"/>
    <xf numFmtId="10" fontId="29" fillId="0" borderId="1" xfId="45" applyNumberFormat="1" applyFont="1" applyFill="1" applyBorder="1" applyAlignment="1">
      <alignment horizontal="center"/>
    </xf>
    <xf numFmtId="10" fontId="30" fillId="0" borderId="1" xfId="45" applyNumberFormat="1" applyFont="1" applyFill="1" applyBorder="1" applyAlignment="1">
      <alignment horizontal="center"/>
    </xf>
    <xf numFmtId="4" fontId="24" fillId="0" borderId="0" xfId="33" applyNumberFormat="1" applyFont="1" applyFill="1" applyBorder="1" applyAlignment="1">
      <alignment horizontal="right"/>
    </xf>
    <xf numFmtId="167" fontId="24" fillId="33" borderId="0" xfId="33" applyNumberFormat="1" applyFont="1" applyFill="1" applyBorder="1" applyAlignment="1">
      <alignment horizontal="center" vertical="center"/>
    </xf>
    <xf numFmtId="0" fontId="24" fillId="33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4" fontId="31" fillId="33" borderId="2" xfId="33" applyNumberFormat="1" applyFont="1" applyFill="1" applyBorder="1" applyAlignment="1">
      <alignment horizontal="right" vertical="justify"/>
    </xf>
    <xf numFmtId="0" fontId="24" fillId="33" borderId="0" xfId="34" applyNumberFormat="1" applyFont="1" applyFill="1" applyBorder="1" applyAlignment="1">
      <alignment horizontal="right" vertical="center"/>
    </xf>
    <xf numFmtId="4" fontId="24" fillId="33" borderId="0" xfId="34" applyNumberFormat="1" applyFont="1" applyFill="1" applyBorder="1" applyAlignment="1">
      <alignment horizontal="right"/>
    </xf>
    <xf numFmtId="4" fontId="24" fillId="33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/>
    </xf>
    <xf numFmtId="4" fontId="24" fillId="0" borderId="2" xfId="34" applyNumberFormat="1" applyFont="1" applyFill="1" applyBorder="1" applyAlignment="1">
      <alignment horizontal="right"/>
    </xf>
    <xf numFmtId="4" fontId="24" fillId="0" borderId="0" xfId="34" applyNumberFormat="1" applyFont="1" applyFill="1" applyBorder="1" applyAlignment="1">
      <alignment horizontal="right" vertical="justify"/>
    </xf>
    <xf numFmtId="4" fontId="24" fillId="33" borderId="0" xfId="0" applyNumberFormat="1" applyFont="1" applyFill="1" applyAlignment="1">
      <alignment horizontal="right"/>
    </xf>
    <xf numFmtId="4" fontId="24" fillId="0" borderId="0" xfId="0" applyNumberFormat="1" applyFont="1" applyAlignment="1">
      <alignment horizontal="right"/>
    </xf>
    <xf numFmtId="4" fontId="24" fillId="33" borderId="0" xfId="0" applyNumberFormat="1" applyFont="1" applyFill="1" applyAlignment="1">
      <alignment horizontal="right" vertical="center"/>
    </xf>
    <xf numFmtId="4" fontId="24" fillId="0" borderId="0" xfId="0" applyNumberFormat="1" applyFont="1" applyAlignment="1">
      <alignment horizontal="right" vertical="center"/>
    </xf>
    <xf numFmtId="0" fontId="20" fillId="0" borderId="0" xfId="36" applyFont="1" applyAlignment="1">
      <alignment horizontal="right"/>
    </xf>
    <xf numFmtId="3" fontId="24" fillId="0" borderId="2" xfId="34" applyNumberFormat="1" applyFont="1" applyFill="1" applyBorder="1" applyAlignment="1">
      <alignment horizontal="right" vertical="center"/>
    </xf>
    <xf numFmtId="3" fontId="24" fillId="33" borderId="0" xfId="0" applyNumberFormat="1" applyFont="1" applyFill="1" applyAlignment="1">
      <alignment horizontal="center" vertical="center"/>
    </xf>
    <xf numFmtId="0" fontId="17" fillId="33" borderId="0" xfId="0" applyFont="1" applyFill="1"/>
    <xf numFmtId="0" fontId="17" fillId="33" borderId="2" xfId="0" applyFont="1" applyFill="1" applyBorder="1"/>
    <xf numFmtId="0" fontId="17" fillId="0" borderId="2" xfId="0" applyFont="1" applyBorder="1"/>
    <xf numFmtId="0" fontId="17" fillId="0" borderId="0" xfId="36" applyFont="1"/>
    <xf numFmtId="0" fontId="24" fillId="0" borderId="0" xfId="34" applyNumberFormat="1" applyFont="1" applyFill="1" applyBorder="1" applyAlignment="1">
      <alignment horizontal="right"/>
    </xf>
    <xf numFmtId="0" fontId="20" fillId="31" borderId="0" xfId="36" applyFont="1" applyFill="1"/>
    <xf numFmtId="0" fontId="24" fillId="33" borderId="0" xfId="0" applyFont="1" applyFill="1" applyAlignment="1">
      <alignment horizontal="right" vertical="center"/>
    </xf>
    <xf numFmtId="3" fontId="24" fillId="33" borderId="0" xfId="34" applyNumberFormat="1" applyFont="1" applyFill="1" applyBorder="1" applyAlignment="1">
      <alignment horizontal="right" vertical="justify"/>
    </xf>
    <xf numFmtId="4" fontId="24" fillId="33" borderId="0" xfId="34" applyNumberFormat="1" applyFont="1" applyFill="1" applyBorder="1" applyAlignment="1">
      <alignment horizontal="right" vertical="justify"/>
    </xf>
    <xf numFmtId="3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4" fontId="24" fillId="0" borderId="2" xfId="34" applyNumberFormat="1" applyFont="1" applyFill="1" applyBorder="1" applyAlignment="1">
      <alignment horizontal="right" vertical="center"/>
    </xf>
    <xf numFmtId="3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horizontal="center"/>
    </xf>
    <xf numFmtId="2" fontId="24" fillId="0" borderId="0" xfId="34" applyNumberFormat="1" applyFont="1" applyFill="1" applyBorder="1" applyAlignment="1">
      <alignment horizontal="center" vertical="center"/>
    </xf>
    <xf numFmtId="3" fontId="24" fillId="33" borderId="0" xfId="0" applyNumberFormat="1" applyFont="1" applyFill="1" applyAlignment="1">
      <alignment horizontal="right" vertical="center"/>
    </xf>
    <xf numFmtId="0" fontId="21" fillId="32" borderId="9" xfId="0" applyFont="1" applyFill="1" applyBorder="1" applyAlignment="1">
      <alignment horizontal="centerContinuous"/>
    </xf>
    <xf numFmtId="0" fontId="21" fillId="32" borderId="1" xfId="0" applyFont="1" applyFill="1" applyBorder="1" applyAlignment="1">
      <alignment horizontal="centerContinuous"/>
    </xf>
    <xf numFmtId="4" fontId="21" fillId="32" borderId="1" xfId="0" applyNumberFormat="1" applyFont="1" applyFill="1" applyBorder="1" applyAlignment="1">
      <alignment horizontal="centerContinuous"/>
    </xf>
    <xf numFmtId="4" fontId="31" fillId="33" borderId="0" xfId="33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right" vertical="center"/>
    </xf>
    <xf numFmtId="4" fontId="31" fillId="0" borderId="0" xfId="33" applyNumberFormat="1" applyFont="1" applyFill="1" applyBorder="1" applyAlignment="1">
      <alignment horizontal="center" vertical="center"/>
    </xf>
    <xf numFmtId="2" fontId="24" fillId="0" borderId="0" xfId="0" applyNumberFormat="1" applyFont="1" applyAlignment="1">
      <alignment horizontal="right" vertical="center"/>
    </xf>
    <xf numFmtId="4" fontId="31" fillId="33" borderId="0" xfId="33" applyNumberFormat="1" applyFont="1" applyFill="1" applyBorder="1" applyAlignment="1" applyProtection="1">
      <alignment horizontal="center" vertical="center"/>
    </xf>
    <xf numFmtId="4" fontId="31" fillId="33" borderId="0" xfId="33" applyNumberFormat="1" applyFont="1" applyFill="1" applyBorder="1" applyAlignment="1" applyProtection="1">
      <alignment horizontal="right" vertical="center"/>
    </xf>
    <xf numFmtId="4" fontId="31" fillId="0" borderId="0" xfId="33" applyNumberFormat="1" applyFont="1" applyFill="1" applyBorder="1" applyAlignment="1" applyProtection="1">
      <alignment horizontal="center" vertical="center"/>
    </xf>
    <xf numFmtId="4" fontId="31" fillId="33" borderId="0" xfId="33" applyNumberFormat="1" applyFont="1" applyFill="1" applyBorder="1" applyAlignment="1" applyProtection="1">
      <alignment horizontal="right" vertical="justify"/>
    </xf>
    <xf numFmtId="4" fontId="31" fillId="0" borderId="0" xfId="33" applyNumberFormat="1" applyFont="1" applyFill="1" applyBorder="1" applyAlignment="1" applyProtection="1">
      <alignment horizontal="right" vertical="center"/>
    </xf>
    <xf numFmtId="0" fontId="24" fillId="0" borderId="0" xfId="0" applyFont="1"/>
    <xf numFmtId="164" fontId="24" fillId="0" borderId="0" xfId="34" applyFont="1" applyFill="1" applyBorder="1" applyAlignment="1">
      <alignment horizontal="right"/>
    </xf>
    <xf numFmtId="164" fontId="24" fillId="0" borderId="0" xfId="34" applyFont="1" applyAlignment="1">
      <alignment horizontal="right"/>
    </xf>
    <xf numFmtId="0" fontId="24" fillId="0" borderId="0" xfId="34" applyNumberFormat="1" applyFont="1" applyFill="1" applyBorder="1" applyAlignment="1">
      <alignment horizontal="center" vertical="center"/>
    </xf>
    <xf numFmtId="2" fontId="24" fillId="0" borderId="0" xfId="34" applyNumberFormat="1" applyFont="1" applyFill="1" applyBorder="1" applyAlignment="1">
      <alignment horizontal="right" vertical="center"/>
    </xf>
    <xf numFmtId="2" fontId="24" fillId="0" borderId="2" xfId="34" applyNumberFormat="1" applyFont="1" applyFill="1" applyBorder="1" applyAlignment="1">
      <alignment horizontal="right" vertical="center"/>
    </xf>
    <xf numFmtId="0" fontId="24" fillId="33" borderId="0" xfId="34" applyNumberFormat="1" applyFont="1" applyFill="1" applyBorder="1" applyAlignment="1">
      <alignment horizontal="center" vertical="center"/>
    </xf>
    <xf numFmtId="0" fontId="23" fillId="33" borderId="2" xfId="0" applyFont="1" applyFill="1" applyBorder="1"/>
    <xf numFmtId="3" fontId="24" fillId="33" borderId="2" xfId="0" applyNumberFormat="1" applyFont="1" applyFill="1" applyBorder="1" applyAlignment="1">
      <alignment horizontal="right"/>
    </xf>
    <xf numFmtId="4" fontId="24" fillId="33" borderId="2" xfId="0" applyNumberFormat="1" applyFont="1" applyFill="1" applyBorder="1" applyAlignment="1">
      <alignment horizontal="right"/>
    </xf>
    <xf numFmtId="3" fontId="24" fillId="33" borderId="2" xfId="0" applyNumberFormat="1" applyFont="1" applyFill="1" applyBorder="1" applyAlignment="1">
      <alignment horizontal="right" vertical="center"/>
    </xf>
    <xf numFmtId="4" fontId="24" fillId="33" borderId="2" xfId="0" applyNumberFormat="1" applyFont="1" applyFill="1" applyBorder="1" applyAlignment="1">
      <alignment horizontal="right" vertical="center"/>
    </xf>
    <xf numFmtId="0" fontId="24" fillId="33" borderId="2" xfId="0" applyFont="1" applyFill="1" applyBorder="1" applyAlignment="1">
      <alignment horizontal="center" vertical="center"/>
    </xf>
    <xf numFmtId="0" fontId="24" fillId="33" borderId="2" xfId="0" applyFont="1" applyFill="1" applyBorder="1" applyAlignment="1">
      <alignment horizontal="right" vertical="center"/>
    </xf>
    <xf numFmtId="2" fontId="24" fillId="33" borderId="2" xfId="0" applyNumberFormat="1" applyFont="1" applyFill="1" applyBorder="1" applyAlignment="1">
      <alignment horizontal="right" vertical="center"/>
    </xf>
    <xf numFmtId="4" fontId="31" fillId="33" borderId="0" xfId="33" applyNumberFormat="1" applyFont="1" applyFill="1" applyBorder="1" applyAlignment="1">
      <alignment horizontal="center"/>
    </xf>
    <xf numFmtId="3" fontId="24" fillId="0" borderId="2" xfId="34" applyNumberFormat="1" applyFont="1" applyFill="1" applyBorder="1" applyAlignment="1">
      <alignment horizontal="center" vertical="center"/>
    </xf>
    <xf numFmtId="0" fontId="24" fillId="0" borderId="2" xfId="34" applyNumberFormat="1" applyFont="1" applyFill="1" applyBorder="1" applyAlignment="1">
      <alignment horizontal="center" vertical="center"/>
    </xf>
    <xf numFmtId="4" fontId="24" fillId="33" borderId="0" xfId="0" applyNumberFormat="1" applyFont="1" applyFill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3" fontId="24" fillId="33" borderId="2" xfId="0" applyNumberFormat="1" applyFont="1" applyFill="1" applyBorder="1" applyAlignment="1">
      <alignment horizontal="center" vertical="center"/>
    </xf>
    <xf numFmtId="0" fontId="29" fillId="33" borderId="0" xfId="0" applyFont="1" applyFill="1" applyAlignment="1">
      <alignment horizontal="centerContinuous"/>
    </xf>
    <xf numFmtId="2" fontId="24" fillId="33" borderId="0" xfId="34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center" vertical="center"/>
    </xf>
    <xf numFmtId="0" fontId="27" fillId="32" borderId="0" xfId="0" applyFont="1" applyFill="1" applyAlignment="1">
      <alignment horizontal="center" vertical="center" wrapText="1"/>
    </xf>
    <xf numFmtId="0" fontId="25" fillId="31" borderId="0" xfId="0" applyFont="1" applyFill="1" applyAlignment="1">
      <alignment horizontal="center"/>
    </xf>
    <xf numFmtId="0" fontId="26" fillId="34" borderId="0" xfId="0" applyFont="1" applyFill="1" applyAlignment="1">
      <alignment horizontal="center" vertical="center" wrapText="1"/>
    </xf>
    <xf numFmtId="0" fontId="23" fillId="0" borderId="0" xfId="36" applyFont="1" applyAlignment="1">
      <alignment horizontal="left" vertical="center" wrapText="1"/>
    </xf>
    <xf numFmtId="0" fontId="23" fillId="0" borderId="0" xfId="36" applyFont="1" applyAlignment="1">
      <alignment horizontal="left" vertical="center"/>
    </xf>
    <xf numFmtId="0" fontId="18" fillId="34" borderId="0" xfId="0" applyFont="1" applyFill="1" applyAlignment="1">
      <alignment horizontal="center" vertical="center" wrapText="1"/>
    </xf>
    <xf numFmtId="167" fontId="22" fillId="0" borderId="1" xfId="33" applyNumberFormat="1" applyFont="1" applyFill="1" applyBorder="1" applyAlignment="1">
      <alignment horizontal="center"/>
    </xf>
    <xf numFmtId="167" fontId="21" fillId="0" borderId="1" xfId="33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34" borderId="0" xfId="43" applyFont="1" applyFill="1" applyAlignment="1">
      <alignment horizontal="center" vertical="center" wrapText="1"/>
    </xf>
  </cellXfs>
  <cellStyles count="46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00000000-0005-0000-0000-000012000000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00000000-0005-0000-0000-00001C000000}"/>
    <cellStyle name="Euro 2" xfId="30" xr:uid="{00000000-0005-0000-0000-00001D000000}"/>
    <cellStyle name="Hipervínculo" xfId="31" builtinId="8"/>
    <cellStyle name="Incorrecto" xfId="32" builtinId="27" customBuiltin="1"/>
    <cellStyle name="Millares" xfId="33" builtinId="3"/>
    <cellStyle name="Millares 2" xfId="34" xr:uid="{00000000-0005-0000-0000-000021000000}"/>
    <cellStyle name="Neutral" xfId="35" builtinId="28" customBuiltin="1"/>
    <cellStyle name="Normal" xfId="0" builtinId="0"/>
    <cellStyle name="Normal 2" xfId="36" xr:uid="{00000000-0005-0000-0000-000024000000}"/>
    <cellStyle name="Normal 3" xfId="43" xr:uid="{674C42A4-B064-4353-9D04-968834AD136F}"/>
    <cellStyle name="Notas 2" xfId="37" xr:uid="{00000000-0005-0000-0000-000025000000}"/>
    <cellStyle name="Porcentaje 2" xfId="38" xr:uid="{00000000-0005-0000-0000-000026000000}"/>
    <cellStyle name="Porcentaje 2 2" xfId="45" xr:uid="{D14C4C04-AF22-4D25-B65E-B19B91AE0366}"/>
    <cellStyle name="Porcentaje 3" xfId="39" xr:uid="{00000000-0005-0000-0000-000027000000}"/>
    <cellStyle name="Porcentaje 4" xfId="44" xr:uid="{CF6C299B-C562-4F38-84BF-B1724B9C16BA}"/>
    <cellStyle name="Salida 2" xfId="40" xr:uid="{00000000-0005-0000-0000-000029000000}"/>
    <cellStyle name="Título" xfId="41" builtinId="15" customBuiltin="1"/>
    <cellStyle name="Total" xfId="4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117923</xdr:colOff>
      <xdr:row>0</xdr:row>
      <xdr:rowOff>117922</xdr:rowOff>
    </xdr:from>
    <xdr:to>
      <xdr:col>11</xdr:col>
      <xdr:colOff>794799</xdr:colOff>
      <xdr:row>3</xdr:row>
      <xdr:rowOff>226786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46F869A5-040C-A07A-895E-A02D15904AB2}"/>
            </a:ext>
          </a:extLst>
        </xdr:cNvPr>
        <xdr:cNvGrpSpPr/>
      </xdr:nvGrpSpPr>
      <xdr:grpSpPr>
        <a:xfrm>
          <a:off x="117923" y="117922"/>
          <a:ext cx="9276590" cy="952507"/>
          <a:chOff x="117923" y="117922"/>
          <a:chExt cx="9276590" cy="952507"/>
        </a:xfrm>
      </xdr:grpSpPr>
      <xdr:pic>
        <xdr:nvPicPr>
          <xdr:cNvPr id="7" name="Imagen 12">
            <a:extLst>
              <a:ext uri="{FF2B5EF4-FFF2-40B4-BE49-F238E27FC236}">
                <a16:creationId xmlns:a16="http://schemas.microsoft.com/office/drawing/2014/main" id="{EC5C623D-E846-7844-B31F-7ED4E0C818E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Imagen 17">
            <a:extLst>
              <a:ext uri="{FF2B5EF4-FFF2-40B4-BE49-F238E27FC236}">
                <a16:creationId xmlns:a16="http://schemas.microsoft.com/office/drawing/2014/main" id="{6C708EB2-DBDC-7983-BB8E-AA47F03ADFF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Imagen 17">
            <a:extLst>
              <a:ext uri="{FF2B5EF4-FFF2-40B4-BE49-F238E27FC236}">
                <a16:creationId xmlns:a16="http://schemas.microsoft.com/office/drawing/2014/main" id="{C2267695-EF5B-4C04-A0D5-31E4797E5AD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104588</xdr:colOff>
      <xdr:row>0</xdr:row>
      <xdr:rowOff>112058</xdr:rowOff>
    </xdr:from>
    <xdr:to>
      <xdr:col>16</xdr:col>
      <xdr:colOff>371649</xdr:colOff>
      <xdr:row>2</xdr:row>
      <xdr:rowOff>459447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9FB54041-51D8-4BD6-BBB9-7DD6309018B8}"/>
            </a:ext>
          </a:extLst>
        </xdr:cNvPr>
        <xdr:cNvGrpSpPr/>
      </xdr:nvGrpSpPr>
      <xdr:grpSpPr>
        <a:xfrm>
          <a:off x="104588" y="112058"/>
          <a:ext cx="9276590" cy="952507"/>
          <a:chOff x="117923" y="117922"/>
          <a:chExt cx="9276590" cy="952507"/>
        </a:xfrm>
      </xdr:grpSpPr>
      <xdr:pic>
        <xdr:nvPicPr>
          <xdr:cNvPr id="6" name="Imagen 12">
            <a:extLst>
              <a:ext uri="{FF2B5EF4-FFF2-40B4-BE49-F238E27FC236}">
                <a16:creationId xmlns:a16="http://schemas.microsoft.com/office/drawing/2014/main" id="{5A36D389-2E3D-D7C7-A7A3-BBD70601280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" name="Imagen 17">
            <a:extLst>
              <a:ext uri="{FF2B5EF4-FFF2-40B4-BE49-F238E27FC236}">
                <a16:creationId xmlns:a16="http://schemas.microsoft.com/office/drawing/2014/main" id="{3DED9682-B4FD-F0E7-2B10-7115A8D1CCC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17">
            <a:extLst>
              <a:ext uri="{FF2B5EF4-FFF2-40B4-BE49-F238E27FC236}">
                <a16:creationId xmlns:a16="http://schemas.microsoft.com/office/drawing/2014/main" id="{C603BE59-7FB2-9130-FC01-28DCC9F625D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82550</xdr:rowOff>
    </xdr:from>
    <xdr:to>
      <xdr:col>9</xdr:col>
      <xdr:colOff>31750</xdr:colOff>
      <xdr:row>2</xdr:row>
      <xdr:rowOff>231605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4AD5341D-277B-4E5A-A250-7FF3DAB63E31}"/>
            </a:ext>
          </a:extLst>
        </xdr:cNvPr>
        <xdr:cNvGrpSpPr>
          <a:grpSpLocks noChangeAspect="1"/>
        </xdr:cNvGrpSpPr>
      </xdr:nvGrpSpPr>
      <xdr:grpSpPr>
        <a:xfrm>
          <a:off x="25400" y="82550"/>
          <a:ext cx="7744279" cy="793126"/>
          <a:chOff x="117923" y="117922"/>
          <a:chExt cx="9276590" cy="952507"/>
        </a:xfrm>
      </xdr:grpSpPr>
      <xdr:pic>
        <xdr:nvPicPr>
          <xdr:cNvPr id="8" name="Imagen 12">
            <a:extLst>
              <a:ext uri="{FF2B5EF4-FFF2-40B4-BE49-F238E27FC236}">
                <a16:creationId xmlns:a16="http://schemas.microsoft.com/office/drawing/2014/main" id="{2EED3DA3-D9D1-F5AC-8C3F-95B31FE8E9D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Imagen 17">
            <a:extLst>
              <a:ext uri="{FF2B5EF4-FFF2-40B4-BE49-F238E27FC236}">
                <a16:creationId xmlns:a16="http://schemas.microsoft.com/office/drawing/2014/main" id="{A10EFA9F-8DCD-3A34-28E2-39F02B0C08A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" name="Imagen 17">
            <a:extLst>
              <a:ext uri="{FF2B5EF4-FFF2-40B4-BE49-F238E27FC236}">
                <a16:creationId xmlns:a16="http://schemas.microsoft.com/office/drawing/2014/main" id="{E8063692-60C0-AB45-F120-E52658D44A3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95250</xdr:rowOff>
    </xdr:from>
    <xdr:to>
      <xdr:col>9</xdr:col>
      <xdr:colOff>6350</xdr:colOff>
      <xdr:row>2</xdr:row>
      <xdr:rowOff>237955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D6741C9D-BFC4-4D3D-ACA4-758A8756284A}"/>
            </a:ext>
          </a:extLst>
        </xdr:cNvPr>
        <xdr:cNvGrpSpPr>
          <a:grpSpLocks noChangeAspect="1"/>
        </xdr:cNvGrpSpPr>
      </xdr:nvGrpSpPr>
      <xdr:grpSpPr>
        <a:xfrm>
          <a:off x="0" y="95250"/>
          <a:ext cx="7759700" cy="796755"/>
          <a:chOff x="117923" y="117922"/>
          <a:chExt cx="9276590" cy="952507"/>
        </a:xfrm>
      </xdr:grpSpPr>
      <xdr:pic>
        <xdr:nvPicPr>
          <xdr:cNvPr id="12" name="Imagen 12">
            <a:extLst>
              <a:ext uri="{FF2B5EF4-FFF2-40B4-BE49-F238E27FC236}">
                <a16:creationId xmlns:a16="http://schemas.microsoft.com/office/drawing/2014/main" id="{94CFBC04-A8B5-CFA4-DB15-DAB1CC7293C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" name="Imagen 17">
            <a:extLst>
              <a:ext uri="{FF2B5EF4-FFF2-40B4-BE49-F238E27FC236}">
                <a16:creationId xmlns:a16="http://schemas.microsoft.com/office/drawing/2014/main" id="{60EA8724-E23F-B333-91F3-EAD0B5C0C7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4" name="Imagen 17">
            <a:extLst>
              <a:ext uri="{FF2B5EF4-FFF2-40B4-BE49-F238E27FC236}">
                <a16:creationId xmlns:a16="http://schemas.microsoft.com/office/drawing/2014/main" id="{5FF1FA69-5445-F33D-7F14-CBD60944602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9"/>
  <sheetViews>
    <sheetView showGridLines="0" tabSelected="1" zoomScale="70" zoomScaleNormal="70" workbookViewId="0">
      <selection activeCell="A7" sqref="A7:L9"/>
    </sheetView>
  </sheetViews>
  <sheetFormatPr baseColWidth="10" defaultColWidth="11.453125" defaultRowHeight="16" x14ac:dyDescent="0.45"/>
  <cols>
    <col min="1" max="1" width="6.26953125" style="14" customWidth="1"/>
    <col min="2" max="2" width="11.453125" style="9"/>
    <col min="3" max="3" width="14" style="9" customWidth="1"/>
    <col min="4" max="16384" width="11.453125" style="9"/>
  </cols>
  <sheetData>
    <row r="1" spans="1:14" ht="22" customHeight="1" x14ac:dyDescent="0.45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</row>
    <row r="2" spans="1:14" ht="22" customHeight="1" x14ac:dyDescent="0.45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</row>
    <row r="3" spans="1:14" ht="22" customHeight="1" x14ac:dyDescent="0.45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N3" s="4"/>
    </row>
    <row r="4" spans="1:14" ht="22" customHeight="1" x14ac:dyDescent="0.45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</row>
    <row r="5" spans="1:14" ht="36" customHeight="1" x14ac:dyDescent="0.45">
      <c r="A5" s="149" t="s">
        <v>47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</row>
    <row r="6" spans="1:14" ht="31.5" customHeight="1" x14ac:dyDescent="0.45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</row>
    <row r="7" spans="1:14" x14ac:dyDescent="0.45">
      <c r="A7" s="147" t="s">
        <v>63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</row>
    <row r="8" spans="1:14" ht="15" customHeight="1" x14ac:dyDescent="0.45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</row>
    <row r="9" spans="1:14" x14ac:dyDescent="0.45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</row>
    <row r="10" spans="1:14" s="10" customFormat="1" ht="31.5" customHeight="1" x14ac:dyDescent="0.25">
      <c r="A10" s="19" t="str">
        <f>+"Anexo 1. "&amp;'Anexo 1'!A6&amp;" "&amp;'Anexo 1'!A7</f>
        <v>Anexo 1. Comportamiento de los precios mayoristas de los principales alimentos en las principales ocho ciudades. Variación mensual. Junio de 2024</v>
      </c>
    </row>
    <row r="11" spans="1:14" s="10" customFormat="1" ht="31.5" customHeight="1" x14ac:dyDescent="0.25">
      <c r="A11" s="19" t="str">
        <f>+"Anexo 2. "&amp;'Anexo 2'!A6&amp;" "&amp;'Anexo 2'!A7</f>
        <v>Anexo 2. Comportamiento de los precios mayoristas de los principales alimentos en las principales ocho ciudades. Variación año corrido. Junio de 2024</v>
      </c>
    </row>
    <row r="12" spans="1:14" s="10" customFormat="1" ht="31.5" customHeight="1" x14ac:dyDescent="0.25">
      <c r="A12" s="19" t="str">
        <f>+"Anexo 3. "&amp;'Anexo 3'!A6&amp;" "&amp;'Anexo 3'!A7</f>
        <v>Anexo 3. Comportamiento de los precios mayoristas de los principales alimentos en las principales ocho ciudades. Variación anual. Junio de 2024</v>
      </c>
    </row>
    <row r="13" spans="1:14" x14ac:dyDescent="0.4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4" ht="18.75" customHeight="1" x14ac:dyDescent="0.45">
      <c r="A14" s="13" t="s">
        <v>90</v>
      </c>
    </row>
    <row r="15" spans="1:14" s="4" customFormat="1" ht="30" customHeight="1" x14ac:dyDescent="0.45"/>
    <row r="16" spans="1:14" s="4" customFormat="1" ht="32.25" customHeight="1" x14ac:dyDescent="0.45"/>
    <row r="17" spans="1:1" s="4" customFormat="1" ht="34.5" customHeight="1" x14ac:dyDescent="0.45"/>
    <row r="18" spans="1:1" s="4" customFormat="1" x14ac:dyDescent="0.45"/>
    <row r="19" spans="1:1" x14ac:dyDescent="0.45">
      <c r="A19" s="9"/>
    </row>
  </sheetData>
  <mergeCells count="3">
    <mergeCell ref="A7:L9"/>
    <mergeCell ref="A1:L4"/>
    <mergeCell ref="A5:L6"/>
  </mergeCells>
  <phoneticPr fontId="3" type="noConversion"/>
  <hyperlinks>
    <hyperlink ref="A10" location="'Anexo 1'!A1" display="'Anexo 1'!A1" xr:uid="{00000000-0004-0000-0000-000000000000}"/>
    <hyperlink ref="A11" location="'Anexo 1'!A1" display="'Anexo 1'!A1" xr:uid="{549AA18A-F416-4462-A600-6B2E456340C2}"/>
    <hyperlink ref="A12" location="'Anexo 1'!A1" display="'Anexo 1'!A1" xr:uid="{0B4092F7-A9A7-4AEB-82ED-D56014BF70B6}"/>
  </hyperlinks>
  <pageMargins left="0.7" right="0.7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0"/>
  <sheetViews>
    <sheetView showGridLines="0" zoomScale="85" zoomScaleNormal="85" workbookViewId="0">
      <selection activeCell="A7" sqref="A7"/>
    </sheetView>
  </sheetViews>
  <sheetFormatPr baseColWidth="10" defaultColWidth="11.453125" defaultRowHeight="16" x14ac:dyDescent="0.45"/>
  <cols>
    <col min="1" max="1" width="24.453125" style="4" customWidth="1"/>
    <col min="2" max="2" width="7.1796875" style="4" customWidth="1"/>
    <col min="3" max="3" width="6.7265625" style="18" customWidth="1"/>
    <col min="4" max="4" width="7.1796875" style="4" customWidth="1"/>
    <col min="5" max="5" width="6.7265625" style="18" customWidth="1"/>
    <col min="6" max="6" width="7.1796875" style="4" customWidth="1"/>
    <col min="7" max="7" width="6.7265625" style="18" customWidth="1"/>
    <col min="8" max="8" width="7.1796875" style="4" customWidth="1"/>
    <col min="9" max="9" width="6.7265625" style="18" customWidth="1"/>
    <col min="10" max="10" width="7.1796875" style="4" customWidth="1"/>
    <col min="11" max="11" width="6.7265625" style="18" customWidth="1"/>
    <col min="12" max="12" width="7.1796875" style="4" customWidth="1"/>
    <col min="13" max="13" width="6.7265625" style="18" customWidth="1"/>
    <col min="14" max="14" width="7.1796875" style="4" customWidth="1"/>
    <col min="15" max="15" width="6.7265625" style="18" customWidth="1"/>
    <col min="16" max="16" width="7.1796875" style="4" customWidth="1"/>
    <col min="17" max="17" width="6.7265625" style="18" customWidth="1"/>
    <col min="18" max="16384" width="11.453125" style="4"/>
  </cols>
  <sheetData>
    <row r="1" spans="1:17" s="1" customFormat="1" ht="14" x14ac:dyDescent="0.4">
      <c r="C1" s="16"/>
      <c r="E1" s="16"/>
      <c r="G1" s="16"/>
      <c r="I1" s="16"/>
      <c r="K1" s="16"/>
      <c r="M1" s="16"/>
      <c r="O1" s="16"/>
      <c r="Q1" s="16"/>
    </row>
    <row r="2" spans="1:17" s="1" customFormat="1" ht="33.75" customHeight="1" x14ac:dyDescent="0.4">
      <c r="C2" s="16"/>
      <c r="E2" s="16"/>
      <c r="G2" s="16"/>
      <c r="I2" s="16"/>
      <c r="K2" s="16"/>
      <c r="M2" s="16"/>
      <c r="O2" s="16"/>
      <c r="Q2" s="16"/>
    </row>
    <row r="3" spans="1:17" s="1" customFormat="1" ht="40.5" customHeight="1" x14ac:dyDescent="0.4">
      <c r="C3" s="16"/>
      <c r="E3" s="16"/>
      <c r="G3" s="16"/>
      <c r="I3" s="16"/>
      <c r="K3" s="16"/>
      <c r="M3" s="16"/>
      <c r="O3" s="16"/>
      <c r="Q3" s="16"/>
    </row>
    <row r="4" spans="1:17" s="1" customFormat="1" ht="18.75" customHeight="1" x14ac:dyDescent="0.4">
      <c r="A4" s="152" t="s">
        <v>0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</row>
    <row r="5" spans="1:17" s="1" customFormat="1" ht="24" customHeight="1" x14ac:dyDescent="0.4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</row>
    <row r="6" spans="1:17" ht="18.75" customHeight="1" x14ac:dyDescent="0.45">
      <c r="A6" s="2" t="s">
        <v>16</v>
      </c>
      <c r="B6" s="3"/>
      <c r="C6" s="17"/>
      <c r="D6" s="3"/>
      <c r="E6" s="17"/>
      <c r="F6" s="3"/>
      <c r="G6" s="17"/>
      <c r="H6" s="3"/>
      <c r="I6" s="17"/>
      <c r="J6" s="3"/>
      <c r="K6" s="17"/>
      <c r="L6" s="3"/>
      <c r="M6" s="17"/>
      <c r="N6" s="3"/>
      <c r="O6" s="17"/>
      <c r="P6" s="3"/>
      <c r="Q6" s="17"/>
    </row>
    <row r="7" spans="1:17" ht="19.5" customHeight="1" x14ac:dyDescent="0.45">
      <c r="A7" s="2" t="str">
        <f>+"Variación mensual. "&amp;Índice!A7</f>
        <v>Variación mensual. Junio de 2024</v>
      </c>
      <c r="B7" s="3"/>
      <c r="C7" s="17"/>
      <c r="D7" s="3"/>
      <c r="E7" s="17"/>
      <c r="F7" s="3"/>
      <c r="G7" s="17"/>
      <c r="H7" s="3"/>
      <c r="I7" s="17"/>
      <c r="J7" s="3"/>
      <c r="K7" s="17"/>
      <c r="L7" s="3"/>
      <c r="M7" s="17"/>
      <c r="N7" s="3"/>
      <c r="O7" s="17"/>
      <c r="P7" s="3"/>
      <c r="Q7" s="17"/>
    </row>
    <row r="8" spans="1:17" s="1" customFormat="1" ht="14" x14ac:dyDescent="0.4">
      <c r="C8" s="16"/>
      <c r="E8" s="16"/>
      <c r="G8" s="16"/>
      <c r="I8" s="16"/>
      <c r="K8" s="16"/>
      <c r="M8" s="16"/>
      <c r="O8" s="16"/>
      <c r="Q8" s="16"/>
    </row>
    <row r="9" spans="1:17" x14ac:dyDescent="0.45">
      <c r="A9" s="155" t="s">
        <v>1</v>
      </c>
      <c r="B9" s="154" t="s">
        <v>2</v>
      </c>
      <c r="C9" s="154"/>
      <c r="D9" s="154" t="s">
        <v>3</v>
      </c>
      <c r="E9" s="154"/>
      <c r="F9" s="154" t="s">
        <v>4</v>
      </c>
      <c r="G9" s="154"/>
      <c r="H9" s="153" t="s">
        <v>5</v>
      </c>
      <c r="I9" s="153"/>
      <c r="J9" s="154" t="s">
        <v>6</v>
      </c>
      <c r="K9" s="154"/>
      <c r="L9" s="154" t="s">
        <v>7</v>
      </c>
      <c r="M9" s="154"/>
      <c r="N9" s="154" t="s">
        <v>8</v>
      </c>
      <c r="O9" s="154"/>
      <c r="P9" s="154" t="s">
        <v>9</v>
      </c>
      <c r="Q9" s="154"/>
    </row>
    <row r="10" spans="1:17" x14ac:dyDescent="0.45">
      <c r="A10" s="156"/>
      <c r="B10" s="5" t="s">
        <v>10</v>
      </c>
      <c r="C10" s="20" t="s">
        <v>11</v>
      </c>
      <c r="D10" s="5" t="s">
        <v>10</v>
      </c>
      <c r="E10" s="20" t="s">
        <v>11</v>
      </c>
      <c r="F10" s="5" t="s">
        <v>10</v>
      </c>
      <c r="G10" s="20" t="s">
        <v>11</v>
      </c>
      <c r="H10" s="5" t="s">
        <v>10</v>
      </c>
      <c r="I10" s="20" t="s">
        <v>11</v>
      </c>
      <c r="J10" s="5" t="s">
        <v>10</v>
      </c>
      <c r="K10" s="20" t="s">
        <v>11</v>
      </c>
      <c r="L10" s="5" t="s">
        <v>10</v>
      </c>
      <c r="M10" s="20" t="s">
        <v>11</v>
      </c>
      <c r="N10" s="5" t="s">
        <v>10</v>
      </c>
      <c r="O10" s="20" t="s">
        <v>11</v>
      </c>
      <c r="P10" s="5" t="s">
        <v>10</v>
      </c>
      <c r="Q10" s="20" t="s">
        <v>11</v>
      </c>
    </row>
    <row r="11" spans="1:17" s="97" customFormat="1" ht="11.5" customHeight="1" x14ac:dyDescent="0.4">
      <c r="A11" s="111" t="s">
        <v>17</v>
      </c>
      <c r="B11" s="112"/>
      <c r="C11" s="113"/>
      <c r="D11" s="112"/>
      <c r="E11" s="113"/>
      <c r="F11" s="112"/>
      <c r="G11" s="113"/>
      <c r="H11" s="112"/>
      <c r="I11" s="113"/>
      <c r="J11" s="112"/>
      <c r="K11" s="113"/>
      <c r="L11" s="112"/>
      <c r="M11" s="113"/>
      <c r="N11" s="112"/>
      <c r="O11" s="113"/>
      <c r="P11" s="112"/>
      <c r="Q11" s="113"/>
    </row>
    <row r="12" spans="1:17" s="97" customFormat="1" ht="12" customHeight="1" x14ac:dyDescent="0.4">
      <c r="A12" s="21" t="s">
        <v>18</v>
      </c>
      <c r="B12" s="23">
        <v>1780</v>
      </c>
      <c r="C12" s="80">
        <v>43.32</v>
      </c>
      <c r="D12" s="22">
        <v>1731</v>
      </c>
      <c r="E12" s="81">
        <v>7.92</v>
      </c>
      <c r="F12" s="22">
        <v>1176</v>
      </c>
      <c r="G12" s="81">
        <v>-12.89</v>
      </c>
      <c r="H12" s="27" t="s">
        <v>58</v>
      </c>
      <c r="I12" s="129" t="s">
        <v>59</v>
      </c>
      <c r="J12" s="22">
        <v>1207</v>
      </c>
      <c r="K12" s="81">
        <v>18.45</v>
      </c>
      <c r="L12" s="22">
        <v>1644</v>
      </c>
      <c r="M12" s="81">
        <v>-1.56</v>
      </c>
      <c r="N12" s="22">
        <v>901</v>
      </c>
      <c r="O12" s="81">
        <v>-0.77</v>
      </c>
      <c r="P12" s="23">
        <v>1538</v>
      </c>
      <c r="Q12" s="82">
        <v>0.79</v>
      </c>
    </row>
    <row r="13" spans="1:17" s="97" customFormat="1" ht="12" customHeight="1" x14ac:dyDescent="0.4">
      <c r="A13" s="24" t="s">
        <v>19</v>
      </c>
      <c r="B13" s="25">
        <v>9878</v>
      </c>
      <c r="C13" s="83">
        <v>-1.83</v>
      </c>
      <c r="D13" s="25">
        <v>7162</v>
      </c>
      <c r="E13" s="84">
        <v>-18.84</v>
      </c>
      <c r="F13" s="25">
        <v>6467</v>
      </c>
      <c r="G13" s="84">
        <v>-4.33</v>
      </c>
      <c r="H13" s="29" t="s">
        <v>58</v>
      </c>
      <c r="I13" s="126" t="s">
        <v>59</v>
      </c>
      <c r="J13" s="25">
        <v>5842</v>
      </c>
      <c r="K13" s="83">
        <v>10.83</v>
      </c>
      <c r="L13" s="25">
        <v>8141</v>
      </c>
      <c r="M13" s="84">
        <v>3.95</v>
      </c>
      <c r="N13" s="25">
        <v>4916</v>
      </c>
      <c r="O13" s="84">
        <v>-16.89</v>
      </c>
      <c r="P13" s="26">
        <v>6405</v>
      </c>
      <c r="Q13" s="83">
        <v>1.72</v>
      </c>
    </row>
    <row r="14" spans="1:17" s="97" customFormat="1" ht="12" customHeight="1" x14ac:dyDescent="0.4">
      <c r="A14" s="21" t="s">
        <v>20</v>
      </c>
      <c r="B14" s="101">
        <v>4083</v>
      </c>
      <c r="C14" s="102">
        <v>101.03</v>
      </c>
      <c r="D14" s="22">
        <v>3635</v>
      </c>
      <c r="E14" s="81">
        <v>121.51</v>
      </c>
      <c r="F14" s="22">
        <v>2583</v>
      </c>
      <c r="G14" s="81">
        <v>81.900000000000006</v>
      </c>
      <c r="H14" s="22">
        <v>4276</v>
      </c>
      <c r="I14" s="81">
        <v>115.85</v>
      </c>
      <c r="J14" s="101">
        <v>4384</v>
      </c>
      <c r="K14" s="102">
        <v>106.02</v>
      </c>
      <c r="L14" s="22">
        <v>3069</v>
      </c>
      <c r="M14" s="81">
        <v>109.92</v>
      </c>
      <c r="N14" s="22">
        <v>3965</v>
      </c>
      <c r="O14" s="81">
        <v>123.63</v>
      </c>
      <c r="P14" s="22">
        <v>3748</v>
      </c>
      <c r="Q14" s="81">
        <v>106.84</v>
      </c>
    </row>
    <row r="15" spans="1:17" s="97" customFormat="1" ht="12" customHeight="1" x14ac:dyDescent="0.4">
      <c r="A15" s="24" t="s">
        <v>21</v>
      </c>
      <c r="B15" s="25">
        <v>1619</v>
      </c>
      <c r="C15" s="84">
        <v>-6.95</v>
      </c>
      <c r="D15" s="25">
        <v>2086</v>
      </c>
      <c r="E15" s="84">
        <v>-3.78</v>
      </c>
      <c r="F15" s="25">
        <v>1326</v>
      </c>
      <c r="G15" s="84">
        <v>28.24</v>
      </c>
      <c r="H15" s="26">
        <v>2255</v>
      </c>
      <c r="I15" s="37">
        <v>11.36</v>
      </c>
      <c r="J15" s="25">
        <v>2022</v>
      </c>
      <c r="K15" s="84">
        <v>-1.08</v>
      </c>
      <c r="L15" s="25">
        <v>1002</v>
      </c>
      <c r="M15" s="84">
        <v>-6.53</v>
      </c>
      <c r="N15" s="25">
        <v>2222</v>
      </c>
      <c r="O15" s="84">
        <v>-5.89</v>
      </c>
      <c r="P15" s="26">
        <v>2242</v>
      </c>
      <c r="Q15" s="83">
        <v>7.22</v>
      </c>
    </row>
    <row r="16" spans="1:17" s="97" customFormat="1" ht="12" customHeight="1" x14ac:dyDescent="0.4">
      <c r="A16" s="21" t="s">
        <v>22</v>
      </c>
      <c r="B16" s="27" t="s">
        <v>58</v>
      </c>
      <c r="C16" s="129" t="s">
        <v>59</v>
      </c>
      <c r="D16" s="22">
        <v>2083</v>
      </c>
      <c r="E16" s="81">
        <v>-26.96</v>
      </c>
      <c r="F16" s="22">
        <v>1617</v>
      </c>
      <c r="G16" s="81">
        <v>8.16</v>
      </c>
      <c r="H16" s="22">
        <v>1712</v>
      </c>
      <c r="I16" s="81">
        <v>-2.2799999999999998</v>
      </c>
      <c r="J16" s="22">
        <v>979</v>
      </c>
      <c r="K16" s="81">
        <v>-29.92</v>
      </c>
      <c r="L16" s="22">
        <v>1736</v>
      </c>
      <c r="M16" s="81">
        <v>6.24</v>
      </c>
      <c r="N16" s="22">
        <v>1435</v>
      </c>
      <c r="O16" s="81">
        <v>-1.71</v>
      </c>
      <c r="P16" s="27" t="s">
        <v>58</v>
      </c>
      <c r="Q16" s="129" t="s">
        <v>59</v>
      </c>
    </row>
    <row r="17" spans="1:17" s="97" customFormat="1" ht="12" customHeight="1" x14ac:dyDescent="0.4">
      <c r="A17" s="24" t="s">
        <v>23</v>
      </c>
      <c r="B17" s="25">
        <v>3293</v>
      </c>
      <c r="C17" s="84">
        <v>-12.88</v>
      </c>
      <c r="D17" s="25">
        <v>3572</v>
      </c>
      <c r="E17" s="84">
        <v>-20.89</v>
      </c>
      <c r="F17" s="25">
        <v>3342</v>
      </c>
      <c r="G17" s="84">
        <v>0.97</v>
      </c>
      <c r="H17" s="26">
        <v>3125</v>
      </c>
      <c r="I17" s="83">
        <v>-5.16</v>
      </c>
      <c r="J17" s="25">
        <v>2687</v>
      </c>
      <c r="K17" s="84">
        <v>-27.24</v>
      </c>
      <c r="L17" s="25">
        <v>3303</v>
      </c>
      <c r="M17" s="84">
        <v>11.29</v>
      </c>
      <c r="N17" s="25">
        <v>753</v>
      </c>
      <c r="O17" s="84">
        <v>-55.78</v>
      </c>
      <c r="P17" s="26">
        <v>2447</v>
      </c>
      <c r="Q17" s="83">
        <v>-13.17</v>
      </c>
    </row>
    <row r="18" spans="1:17" s="97" customFormat="1" ht="12" customHeight="1" x14ac:dyDescent="0.4">
      <c r="A18" s="21" t="s">
        <v>24</v>
      </c>
      <c r="B18" s="101">
        <v>3167</v>
      </c>
      <c r="C18" s="102">
        <v>0.7</v>
      </c>
      <c r="D18" s="22">
        <v>2817</v>
      </c>
      <c r="E18" s="81">
        <v>-27.13</v>
      </c>
      <c r="F18" s="22">
        <v>2016</v>
      </c>
      <c r="G18" s="81">
        <v>0.6</v>
      </c>
      <c r="H18" s="22">
        <v>2796</v>
      </c>
      <c r="I18" s="81">
        <v>-21.83</v>
      </c>
      <c r="J18" s="101">
        <v>1429</v>
      </c>
      <c r="K18" s="102">
        <v>4.92</v>
      </c>
      <c r="L18" s="22">
        <v>1964</v>
      </c>
      <c r="M18" s="81">
        <v>18.03</v>
      </c>
      <c r="N18" s="22">
        <v>1197</v>
      </c>
      <c r="O18" s="81">
        <v>-28.41</v>
      </c>
      <c r="P18" s="22">
        <v>2500</v>
      </c>
      <c r="Q18" s="81">
        <v>-5.8</v>
      </c>
    </row>
    <row r="19" spans="1:17" s="97" customFormat="1" ht="12" customHeight="1" x14ac:dyDescent="0.4">
      <c r="A19" s="24" t="s">
        <v>25</v>
      </c>
      <c r="B19" s="25">
        <v>2123</v>
      </c>
      <c r="C19" s="84">
        <v>-2.39</v>
      </c>
      <c r="D19" s="25">
        <v>3338</v>
      </c>
      <c r="E19" s="84">
        <v>-7.35</v>
      </c>
      <c r="F19" s="25">
        <v>2052</v>
      </c>
      <c r="G19" s="84">
        <v>-4.25</v>
      </c>
      <c r="H19" s="26">
        <v>2297</v>
      </c>
      <c r="I19" s="83">
        <v>-10.1</v>
      </c>
      <c r="J19" s="25">
        <v>2222</v>
      </c>
      <c r="K19" s="84">
        <v>22.76</v>
      </c>
      <c r="L19" s="25">
        <v>2171</v>
      </c>
      <c r="M19" s="84">
        <v>29.07</v>
      </c>
      <c r="N19" s="25">
        <v>1816</v>
      </c>
      <c r="O19" s="84">
        <v>-20.18</v>
      </c>
      <c r="P19" s="26">
        <v>2221</v>
      </c>
      <c r="Q19" s="83">
        <v>-8.3000000000000007</v>
      </c>
    </row>
    <row r="20" spans="1:17" s="97" customFormat="1" ht="12" customHeight="1" x14ac:dyDescent="0.4">
      <c r="A20" s="21" t="s">
        <v>26</v>
      </c>
      <c r="B20" s="22">
        <v>3780</v>
      </c>
      <c r="C20" s="81">
        <v>19.36</v>
      </c>
      <c r="D20" s="22">
        <v>6325</v>
      </c>
      <c r="E20" s="81">
        <v>20.059999999999999</v>
      </c>
      <c r="F20" s="22">
        <v>5620</v>
      </c>
      <c r="G20" s="81">
        <v>24.83</v>
      </c>
      <c r="H20" s="22">
        <v>5913</v>
      </c>
      <c r="I20" s="81">
        <v>20.87</v>
      </c>
      <c r="J20" s="22">
        <v>4416</v>
      </c>
      <c r="K20" s="81">
        <v>32.85</v>
      </c>
      <c r="L20" s="22">
        <v>5942</v>
      </c>
      <c r="M20" s="81">
        <v>52.16</v>
      </c>
      <c r="N20" s="22">
        <v>4257</v>
      </c>
      <c r="O20" s="81">
        <v>49.05</v>
      </c>
      <c r="P20" s="22">
        <v>4658</v>
      </c>
      <c r="Q20" s="81">
        <v>15.9</v>
      </c>
    </row>
    <row r="21" spans="1:17" s="97" customFormat="1" ht="12" customHeight="1" x14ac:dyDescent="0.4">
      <c r="A21" s="24" t="s">
        <v>27</v>
      </c>
      <c r="B21" s="25">
        <v>1274</v>
      </c>
      <c r="C21" s="84">
        <v>-9.84</v>
      </c>
      <c r="D21" s="25">
        <v>1051</v>
      </c>
      <c r="E21" s="84">
        <v>-4.45</v>
      </c>
      <c r="F21" s="25">
        <v>776</v>
      </c>
      <c r="G21" s="84">
        <v>-43.15</v>
      </c>
      <c r="H21" s="26">
        <v>1234</v>
      </c>
      <c r="I21" s="83">
        <v>-7.5</v>
      </c>
      <c r="J21" s="25">
        <v>1102</v>
      </c>
      <c r="K21" s="84">
        <v>-21.62</v>
      </c>
      <c r="L21" s="25">
        <v>1406</v>
      </c>
      <c r="M21" s="84">
        <v>-14.79</v>
      </c>
      <c r="N21" s="25">
        <v>888</v>
      </c>
      <c r="O21" s="84">
        <v>50</v>
      </c>
      <c r="P21" s="26">
        <v>1238</v>
      </c>
      <c r="Q21" s="83">
        <v>-23.44</v>
      </c>
    </row>
    <row r="22" spans="1:17" s="97" customFormat="1" ht="12" customHeight="1" x14ac:dyDescent="0.4">
      <c r="A22" s="21" t="s">
        <v>28</v>
      </c>
      <c r="B22" s="22">
        <v>2415</v>
      </c>
      <c r="C22" s="81">
        <v>-6.58</v>
      </c>
      <c r="D22" s="22">
        <v>2208</v>
      </c>
      <c r="E22" s="81">
        <v>-18.46</v>
      </c>
      <c r="F22" s="22">
        <v>1961</v>
      </c>
      <c r="G22" s="81">
        <v>-27.4</v>
      </c>
      <c r="H22" s="27" t="s">
        <v>58</v>
      </c>
      <c r="I22" s="129" t="s">
        <v>59</v>
      </c>
      <c r="J22" s="22">
        <v>2934</v>
      </c>
      <c r="K22" s="81">
        <v>-4.68</v>
      </c>
      <c r="L22" s="22">
        <v>1626</v>
      </c>
      <c r="M22" s="81">
        <v>-27.96</v>
      </c>
      <c r="N22" s="22">
        <v>2704</v>
      </c>
      <c r="O22" s="81">
        <v>17.920000000000002</v>
      </c>
      <c r="P22" s="23">
        <v>2754</v>
      </c>
      <c r="Q22" s="82">
        <v>-16.37</v>
      </c>
    </row>
    <row r="23" spans="1:17" s="97" customFormat="1" ht="12" customHeight="1" x14ac:dyDescent="0.4">
      <c r="A23" s="30" t="s">
        <v>29</v>
      </c>
      <c r="B23" s="92">
        <v>2207</v>
      </c>
      <c r="C23" s="105">
        <v>21.46</v>
      </c>
      <c r="D23" s="31">
        <v>2684</v>
      </c>
      <c r="E23" s="85">
        <v>4.6399999999999997</v>
      </c>
      <c r="F23" s="31">
        <v>1724</v>
      </c>
      <c r="G23" s="85">
        <v>21.32</v>
      </c>
      <c r="H23" s="31">
        <v>2332</v>
      </c>
      <c r="I23" s="85">
        <v>10.1</v>
      </c>
      <c r="J23" s="31">
        <v>3121</v>
      </c>
      <c r="K23" s="85">
        <v>11.78</v>
      </c>
      <c r="L23" s="31">
        <v>1649</v>
      </c>
      <c r="M23" s="85">
        <v>-18.809999999999999</v>
      </c>
      <c r="N23" s="31">
        <v>644</v>
      </c>
      <c r="O23" s="85">
        <v>-16.899999999999999</v>
      </c>
      <c r="P23" s="31">
        <v>2347</v>
      </c>
      <c r="Q23" s="85">
        <v>6.68</v>
      </c>
    </row>
    <row r="24" spans="1:17" s="123" customFormat="1" ht="11.5" x14ac:dyDescent="0.3">
      <c r="A24" s="111" t="s">
        <v>30</v>
      </c>
      <c r="B24" s="112"/>
      <c r="C24" s="113"/>
      <c r="D24" s="112"/>
      <c r="E24" s="113"/>
      <c r="F24" s="112"/>
      <c r="G24" s="113"/>
      <c r="H24" s="112"/>
      <c r="I24" s="113"/>
      <c r="J24" s="112"/>
      <c r="K24" s="113"/>
      <c r="L24" s="112"/>
      <c r="M24" s="113"/>
      <c r="N24" s="112"/>
      <c r="O24" s="113"/>
      <c r="P24" s="112"/>
      <c r="Q24" s="113"/>
    </row>
    <row r="25" spans="1:17" s="97" customFormat="1" ht="12" customHeight="1" x14ac:dyDescent="0.4">
      <c r="A25" s="24" t="s">
        <v>48</v>
      </c>
      <c r="B25" s="29" t="s">
        <v>58</v>
      </c>
      <c r="C25" s="126" t="s">
        <v>59</v>
      </c>
      <c r="D25" s="25">
        <v>5790</v>
      </c>
      <c r="E25" s="84">
        <v>-32.21</v>
      </c>
      <c r="F25" s="25">
        <v>6294</v>
      </c>
      <c r="G25" s="37">
        <v>-33.75</v>
      </c>
      <c r="H25" s="29">
        <v>6760</v>
      </c>
      <c r="I25" s="109">
        <v>-11.83</v>
      </c>
      <c r="J25" s="28">
        <v>4617</v>
      </c>
      <c r="K25" s="83">
        <v>-32.270000000000003</v>
      </c>
      <c r="L25" s="26">
        <v>8231</v>
      </c>
      <c r="M25" s="37">
        <v>-15.34</v>
      </c>
      <c r="N25" s="25">
        <v>3879</v>
      </c>
      <c r="O25" s="84">
        <v>-42.06</v>
      </c>
      <c r="P25" s="26">
        <v>4352</v>
      </c>
      <c r="Q25" s="83">
        <v>-40.99</v>
      </c>
    </row>
    <row r="26" spans="1:17" s="97" customFormat="1" ht="12" customHeight="1" x14ac:dyDescent="0.4">
      <c r="A26" s="21" t="s">
        <v>31</v>
      </c>
      <c r="B26" s="22">
        <v>1875</v>
      </c>
      <c r="C26" s="81">
        <v>32.14</v>
      </c>
      <c r="D26" s="22">
        <v>2815</v>
      </c>
      <c r="E26" s="81">
        <v>0.14000000000000001</v>
      </c>
      <c r="F26" s="22">
        <v>3376</v>
      </c>
      <c r="G26" s="81">
        <v>0.27</v>
      </c>
      <c r="H26" s="27" t="s">
        <v>58</v>
      </c>
      <c r="I26" s="129" t="s">
        <v>59</v>
      </c>
      <c r="J26" s="22">
        <v>2338</v>
      </c>
      <c r="K26" s="81">
        <v>-4.38</v>
      </c>
      <c r="L26" s="22">
        <v>3434</v>
      </c>
      <c r="M26" s="81">
        <v>10.77</v>
      </c>
      <c r="N26" s="22">
        <v>2207</v>
      </c>
      <c r="O26" s="81">
        <v>0.96</v>
      </c>
      <c r="P26" s="23">
        <v>2013</v>
      </c>
      <c r="Q26" s="82">
        <v>7.36</v>
      </c>
    </row>
    <row r="27" spans="1:17" s="97" customFormat="1" ht="12" customHeight="1" x14ac:dyDescent="0.4">
      <c r="A27" s="24" t="s">
        <v>32</v>
      </c>
      <c r="B27" s="25">
        <v>7258</v>
      </c>
      <c r="C27" s="84">
        <v>13.62</v>
      </c>
      <c r="D27" s="25">
        <v>5440</v>
      </c>
      <c r="E27" s="84">
        <v>-6.01</v>
      </c>
      <c r="F27" s="29" t="s">
        <v>58</v>
      </c>
      <c r="G27" s="126" t="s">
        <v>59</v>
      </c>
      <c r="H27" s="25">
        <v>4989</v>
      </c>
      <c r="I27" s="84">
        <v>1.55</v>
      </c>
      <c r="J27" s="25">
        <v>3884</v>
      </c>
      <c r="K27" s="84">
        <v>-1.22</v>
      </c>
      <c r="L27" s="29" t="s">
        <v>58</v>
      </c>
      <c r="M27" s="126" t="s">
        <v>59</v>
      </c>
      <c r="N27" s="26">
        <v>6608</v>
      </c>
      <c r="O27" s="84">
        <v>-13.91</v>
      </c>
      <c r="P27" s="25">
        <v>4043</v>
      </c>
      <c r="Q27" s="84">
        <v>-7.67</v>
      </c>
    </row>
    <row r="28" spans="1:17" s="97" customFormat="1" ht="12" customHeight="1" x14ac:dyDescent="0.4">
      <c r="A28" s="21" t="s">
        <v>33</v>
      </c>
      <c r="B28" s="27" t="s">
        <v>58</v>
      </c>
      <c r="C28" s="129" t="s">
        <v>59</v>
      </c>
      <c r="D28" s="22">
        <v>10519</v>
      </c>
      <c r="E28" s="81">
        <v>32.68</v>
      </c>
      <c r="F28" s="22">
        <v>11456</v>
      </c>
      <c r="G28" s="81">
        <v>27.46</v>
      </c>
      <c r="H28" s="27" t="s">
        <v>58</v>
      </c>
      <c r="I28" s="129" t="s">
        <v>59</v>
      </c>
      <c r="J28" s="23">
        <v>9046</v>
      </c>
      <c r="K28" s="80">
        <v>30.72</v>
      </c>
      <c r="L28" s="23">
        <v>7680</v>
      </c>
      <c r="M28" s="82">
        <v>-5.44</v>
      </c>
      <c r="N28" s="22">
        <v>10002</v>
      </c>
      <c r="O28" s="81">
        <v>21.41</v>
      </c>
      <c r="P28" s="23" t="s">
        <v>58</v>
      </c>
      <c r="Q28" s="82" t="s">
        <v>59</v>
      </c>
    </row>
    <row r="29" spans="1:17" s="97" customFormat="1" ht="12" customHeight="1" x14ac:dyDescent="0.4">
      <c r="A29" s="24" t="s">
        <v>34</v>
      </c>
      <c r="B29" s="25">
        <v>3758</v>
      </c>
      <c r="C29" s="84">
        <v>-6</v>
      </c>
      <c r="D29" s="25">
        <v>3404</v>
      </c>
      <c r="E29" s="84">
        <v>-8.69</v>
      </c>
      <c r="F29" s="25">
        <v>1686</v>
      </c>
      <c r="G29" s="84">
        <v>-31.66</v>
      </c>
      <c r="H29" s="25">
        <v>3744</v>
      </c>
      <c r="I29" s="84">
        <v>-2.65</v>
      </c>
      <c r="J29" s="25">
        <v>3071</v>
      </c>
      <c r="K29" s="84">
        <v>-3.37</v>
      </c>
      <c r="L29" s="25">
        <v>2565</v>
      </c>
      <c r="M29" s="84">
        <v>-23.91</v>
      </c>
      <c r="N29" s="25">
        <v>2459</v>
      </c>
      <c r="O29" s="84">
        <v>-18.68</v>
      </c>
      <c r="P29" s="25">
        <v>2867</v>
      </c>
      <c r="Q29" s="84">
        <v>0.53</v>
      </c>
    </row>
    <row r="30" spans="1:17" s="97" customFormat="1" ht="12" customHeight="1" x14ac:dyDescent="0.4">
      <c r="A30" s="21" t="s">
        <v>55</v>
      </c>
      <c r="B30" s="22">
        <v>1361</v>
      </c>
      <c r="C30" s="81">
        <v>-37.020000000000003</v>
      </c>
      <c r="D30" s="22">
        <v>1359</v>
      </c>
      <c r="E30" s="81">
        <v>-34.76</v>
      </c>
      <c r="F30" s="22">
        <v>884</v>
      </c>
      <c r="G30" s="81">
        <v>-50.28</v>
      </c>
      <c r="H30" s="23">
        <v>1933</v>
      </c>
      <c r="I30" s="82">
        <v>-26.75</v>
      </c>
      <c r="J30" s="22">
        <v>1389</v>
      </c>
      <c r="K30" s="82">
        <v>-33.979999999999997</v>
      </c>
      <c r="L30" s="22">
        <v>1718</v>
      </c>
      <c r="M30" s="81">
        <v>-41.26</v>
      </c>
      <c r="N30" s="22">
        <v>1214</v>
      </c>
      <c r="O30" s="81">
        <v>-41.15</v>
      </c>
      <c r="P30" s="23">
        <v>1221</v>
      </c>
      <c r="Q30" s="82">
        <v>-28.51</v>
      </c>
    </row>
    <row r="31" spans="1:17" s="97" customFormat="1" ht="12" customHeight="1" x14ac:dyDescent="0.4">
      <c r="A31" s="24" t="s">
        <v>35</v>
      </c>
      <c r="B31" s="26">
        <v>8147</v>
      </c>
      <c r="C31" s="83">
        <v>9.7100000000000009</v>
      </c>
      <c r="D31" s="25">
        <v>6087</v>
      </c>
      <c r="E31" s="84">
        <v>1.64</v>
      </c>
      <c r="F31" s="25">
        <v>6406</v>
      </c>
      <c r="G31" s="84">
        <v>2.86</v>
      </c>
      <c r="H31" s="26">
        <v>7407</v>
      </c>
      <c r="I31" s="83">
        <v>4.92</v>
      </c>
      <c r="J31" s="26">
        <v>5241</v>
      </c>
      <c r="K31" s="83">
        <v>1.73</v>
      </c>
      <c r="L31" s="25">
        <v>7520</v>
      </c>
      <c r="M31" s="84">
        <v>5.84</v>
      </c>
      <c r="N31" s="25">
        <v>6038</v>
      </c>
      <c r="O31" s="84">
        <v>4.07</v>
      </c>
      <c r="P31" s="26">
        <v>5758</v>
      </c>
      <c r="Q31" s="83">
        <v>11.24</v>
      </c>
    </row>
    <row r="32" spans="1:17" s="97" customFormat="1" ht="12" customHeight="1" x14ac:dyDescent="0.4">
      <c r="A32" s="21" t="s">
        <v>36</v>
      </c>
      <c r="B32" s="22">
        <v>3330</v>
      </c>
      <c r="C32" s="81">
        <v>-13.84</v>
      </c>
      <c r="D32" s="22">
        <v>3850</v>
      </c>
      <c r="E32" s="81">
        <v>-21.2</v>
      </c>
      <c r="F32" s="22">
        <v>2763</v>
      </c>
      <c r="G32" s="129">
        <v>-17.649999999999999</v>
      </c>
      <c r="H32" s="23">
        <v>4091</v>
      </c>
      <c r="I32" s="145" t="s">
        <v>59</v>
      </c>
      <c r="J32" s="22">
        <v>2808</v>
      </c>
      <c r="K32" s="81">
        <v>-33.9</v>
      </c>
      <c r="L32" s="22">
        <v>3432</v>
      </c>
      <c r="M32" s="81">
        <v>-18.63</v>
      </c>
      <c r="N32" s="22">
        <v>4070</v>
      </c>
      <c r="O32" s="81">
        <v>-30.72</v>
      </c>
      <c r="P32" s="23">
        <v>3715</v>
      </c>
      <c r="Q32" s="80">
        <v>-9.43</v>
      </c>
    </row>
    <row r="33" spans="1:17" s="97" customFormat="1" ht="12" customHeight="1" x14ac:dyDescent="0.4">
      <c r="A33" s="24" t="s">
        <v>37</v>
      </c>
      <c r="B33" s="25">
        <v>2900</v>
      </c>
      <c r="C33" s="84">
        <v>-23.92</v>
      </c>
      <c r="D33" s="25">
        <v>2295</v>
      </c>
      <c r="E33" s="98">
        <v>-46.62</v>
      </c>
      <c r="F33" s="25">
        <v>2806</v>
      </c>
      <c r="G33" s="83">
        <v>-6.53</v>
      </c>
      <c r="H33" s="29" t="s">
        <v>58</v>
      </c>
      <c r="I33" s="109" t="s">
        <v>59</v>
      </c>
      <c r="J33" s="25">
        <v>2831</v>
      </c>
      <c r="K33" s="84">
        <v>-31.39</v>
      </c>
      <c r="L33" s="25">
        <v>2839</v>
      </c>
      <c r="M33" s="84">
        <v>-8.74</v>
      </c>
      <c r="N33" s="25">
        <v>1864</v>
      </c>
      <c r="O33" s="83">
        <v>-43.6</v>
      </c>
      <c r="P33" s="26">
        <v>2958</v>
      </c>
      <c r="Q33" s="84">
        <v>-25.83</v>
      </c>
    </row>
    <row r="34" spans="1:17" s="97" customFormat="1" ht="12" customHeight="1" x14ac:dyDescent="0.4">
      <c r="A34" s="21" t="s">
        <v>51</v>
      </c>
      <c r="B34" s="76" t="s">
        <v>58</v>
      </c>
      <c r="C34" s="129" t="s">
        <v>59</v>
      </c>
      <c r="D34" s="22">
        <v>8642</v>
      </c>
      <c r="E34" s="81">
        <v>1.17</v>
      </c>
      <c r="F34" s="22">
        <v>8314</v>
      </c>
      <c r="G34" s="81">
        <v>1.28</v>
      </c>
      <c r="H34" s="23">
        <v>9001</v>
      </c>
      <c r="I34" s="80">
        <v>-1.71</v>
      </c>
      <c r="J34" s="23">
        <v>7988</v>
      </c>
      <c r="K34" s="82">
        <v>0.66</v>
      </c>
      <c r="L34" s="22">
        <v>8925</v>
      </c>
      <c r="M34" s="81">
        <v>0.9</v>
      </c>
      <c r="N34" s="22">
        <v>8002</v>
      </c>
      <c r="O34" s="81">
        <v>4.22</v>
      </c>
      <c r="P34" s="23">
        <v>7901</v>
      </c>
      <c r="Q34" s="82">
        <v>-0.97</v>
      </c>
    </row>
    <row r="35" spans="1:17" s="97" customFormat="1" ht="12" customHeight="1" x14ac:dyDescent="0.4">
      <c r="A35" s="24" t="s">
        <v>38</v>
      </c>
      <c r="B35" s="26">
        <v>3600</v>
      </c>
      <c r="C35" s="37">
        <v>-25.53</v>
      </c>
      <c r="D35" s="25">
        <v>3556</v>
      </c>
      <c r="E35" s="84">
        <v>-13.25</v>
      </c>
      <c r="F35" s="25">
        <v>3209</v>
      </c>
      <c r="G35" s="84">
        <v>-23.36</v>
      </c>
      <c r="H35" s="29" t="s">
        <v>58</v>
      </c>
      <c r="I35" s="126" t="s">
        <v>59</v>
      </c>
      <c r="J35" s="25">
        <v>3473</v>
      </c>
      <c r="K35" s="84">
        <v>-11.65</v>
      </c>
      <c r="L35" s="25">
        <v>4770</v>
      </c>
      <c r="M35" s="84">
        <v>-2.93</v>
      </c>
      <c r="N35" s="25">
        <v>2591</v>
      </c>
      <c r="O35" s="84">
        <v>-29.25</v>
      </c>
      <c r="P35" s="26">
        <v>3662</v>
      </c>
      <c r="Q35" s="84">
        <v>-13.2</v>
      </c>
    </row>
    <row r="36" spans="1:17" s="97" customFormat="1" ht="12" customHeight="1" x14ac:dyDescent="0.4">
      <c r="A36" s="21" t="s">
        <v>39</v>
      </c>
      <c r="B36" s="22">
        <v>6491</v>
      </c>
      <c r="C36" s="81">
        <v>-27.93</v>
      </c>
      <c r="D36" s="22">
        <v>5837</v>
      </c>
      <c r="E36" s="81">
        <v>-21.72</v>
      </c>
      <c r="F36" s="22">
        <v>4165</v>
      </c>
      <c r="G36" s="81">
        <v>-42.37</v>
      </c>
      <c r="H36" s="23">
        <v>4878</v>
      </c>
      <c r="I36" s="82">
        <v>-37.19</v>
      </c>
      <c r="J36" s="22">
        <v>5204</v>
      </c>
      <c r="K36" s="81">
        <v>-12.96</v>
      </c>
      <c r="L36" s="22">
        <v>4497</v>
      </c>
      <c r="M36" s="81">
        <v>-35.770000000000003</v>
      </c>
      <c r="N36" s="22">
        <v>4380</v>
      </c>
      <c r="O36" s="81">
        <v>-36.24</v>
      </c>
      <c r="P36" s="23">
        <v>5625</v>
      </c>
      <c r="Q36" s="82">
        <v>-16.46</v>
      </c>
    </row>
    <row r="37" spans="1:17" s="97" customFormat="1" ht="12" customHeight="1" x14ac:dyDescent="0.4">
      <c r="A37" s="24" t="s">
        <v>57</v>
      </c>
      <c r="B37" s="29" t="s">
        <v>58</v>
      </c>
      <c r="C37" s="126" t="s">
        <v>59</v>
      </c>
      <c r="D37" s="25">
        <v>1953</v>
      </c>
      <c r="E37" s="84">
        <v>5.23</v>
      </c>
      <c r="F37" s="25">
        <v>1115</v>
      </c>
      <c r="G37" s="83">
        <v>-12.75</v>
      </c>
      <c r="H37" s="26">
        <v>1567</v>
      </c>
      <c r="I37" s="83">
        <v>8.44</v>
      </c>
      <c r="J37" s="26">
        <v>1188</v>
      </c>
      <c r="K37" s="127">
        <v>4.3</v>
      </c>
      <c r="L37" s="26">
        <v>1717</v>
      </c>
      <c r="M37" s="127">
        <v>-12.75</v>
      </c>
      <c r="N37" s="25">
        <v>2254</v>
      </c>
      <c r="O37" s="83">
        <v>5.87</v>
      </c>
      <c r="P37" s="25">
        <v>1095</v>
      </c>
      <c r="Q37" s="86">
        <v>-12.12</v>
      </c>
    </row>
    <row r="38" spans="1:17" s="97" customFormat="1" ht="12" customHeight="1" x14ac:dyDescent="0.4">
      <c r="A38" s="21" t="s">
        <v>56</v>
      </c>
      <c r="B38" s="27" t="s">
        <v>58</v>
      </c>
      <c r="C38" s="129" t="s">
        <v>59</v>
      </c>
      <c r="D38" s="23">
        <v>2176</v>
      </c>
      <c r="E38" s="82">
        <v>53.56</v>
      </c>
      <c r="F38" s="22">
        <v>1960</v>
      </c>
      <c r="G38" s="81">
        <v>31.72</v>
      </c>
      <c r="H38" s="23">
        <v>2207</v>
      </c>
      <c r="I38" s="82">
        <v>34</v>
      </c>
      <c r="J38" s="23">
        <v>1577</v>
      </c>
      <c r="K38" s="81">
        <v>13.37</v>
      </c>
      <c r="L38" s="23">
        <v>2358</v>
      </c>
      <c r="M38" s="82">
        <v>23</v>
      </c>
      <c r="N38" s="22">
        <v>2452</v>
      </c>
      <c r="O38" s="81">
        <v>29.12</v>
      </c>
      <c r="P38" s="23">
        <v>1808</v>
      </c>
      <c r="Q38" s="82">
        <v>21.1</v>
      </c>
    </row>
    <row r="39" spans="1:17" s="97" customFormat="1" ht="12" customHeight="1" x14ac:dyDescent="0.4">
      <c r="A39" s="24" t="s">
        <v>40</v>
      </c>
      <c r="B39" s="26">
        <v>3889</v>
      </c>
      <c r="C39" s="37">
        <v>6.11</v>
      </c>
      <c r="D39" s="26">
        <v>2264</v>
      </c>
      <c r="E39" s="83">
        <v>-15.65</v>
      </c>
      <c r="F39" s="25">
        <v>2346</v>
      </c>
      <c r="G39" s="84">
        <v>-9.0299999999999994</v>
      </c>
      <c r="H39" s="26">
        <v>2929</v>
      </c>
      <c r="I39" s="83">
        <v>-10.24</v>
      </c>
      <c r="J39" s="26">
        <v>2723</v>
      </c>
      <c r="K39" s="84">
        <v>-6.07</v>
      </c>
      <c r="L39" s="26" t="s">
        <v>58</v>
      </c>
      <c r="M39" s="83" t="s">
        <v>59</v>
      </c>
      <c r="N39" s="25">
        <v>2591</v>
      </c>
      <c r="O39" s="84">
        <v>-15.41</v>
      </c>
      <c r="P39" s="26">
        <v>3492</v>
      </c>
      <c r="Q39" s="83">
        <v>-1.38</v>
      </c>
    </row>
    <row r="40" spans="1:17" s="97" customFormat="1" ht="12" customHeight="1" x14ac:dyDescent="0.4">
      <c r="A40" s="21" t="s">
        <v>41</v>
      </c>
      <c r="B40" s="22">
        <v>4350</v>
      </c>
      <c r="C40" s="81">
        <v>8.34</v>
      </c>
      <c r="D40" s="22">
        <v>3610</v>
      </c>
      <c r="E40" s="81">
        <v>9.36</v>
      </c>
      <c r="F40" s="22">
        <v>4155</v>
      </c>
      <c r="G40" s="81">
        <v>0.24</v>
      </c>
      <c r="H40" s="23">
        <v>4471</v>
      </c>
      <c r="I40" s="102">
        <v>3.86</v>
      </c>
      <c r="J40" s="22">
        <v>3977</v>
      </c>
      <c r="K40" s="81">
        <v>5.18</v>
      </c>
      <c r="L40" s="22">
        <v>4290</v>
      </c>
      <c r="M40" s="81">
        <v>5.87</v>
      </c>
      <c r="N40" s="22">
        <v>3726</v>
      </c>
      <c r="O40" s="81">
        <v>-3.35</v>
      </c>
      <c r="P40" s="23">
        <v>3796</v>
      </c>
      <c r="Q40" s="102">
        <v>3.12</v>
      </c>
    </row>
    <row r="41" spans="1:17" s="97" customFormat="1" ht="12" customHeight="1" x14ac:dyDescent="0.4">
      <c r="A41" s="30" t="s">
        <v>60</v>
      </c>
      <c r="B41" s="139" t="s">
        <v>58</v>
      </c>
      <c r="C41" s="140" t="s">
        <v>59</v>
      </c>
      <c r="D41" s="31">
        <v>8406</v>
      </c>
      <c r="E41" s="85">
        <v>2.67</v>
      </c>
      <c r="F41" s="31">
        <v>8873</v>
      </c>
      <c r="G41" s="85">
        <v>4.03</v>
      </c>
      <c r="H41" s="92">
        <v>9879</v>
      </c>
      <c r="I41" s="105">
        <v>2.2999999999999998</v>
      </c>
      <c r="J41" s="31">
        <v>8244</v>
      </c>
      <c r="K41" s="85">
        <v>-4.88</v>
      </c>
      <c r="L41" s="139" t="s">
        <v>58</v>
      </c>
      <c r="M41" s="140" t="s">
        <v>59</v>
      </c>
      <c r="N41" s="31">
        <v>7691</v>
      </c>
      <c r="O41" s="85">
        <v>2.85</v>
      </c>
      <c r="P41" s="92">
        <v>8100</v>
      </c>
      <c r="Q41" s="105">
        <v>-3.35</v>
      </c>
    </row>
    <row r="42" spans="1:17" s="97" customFormat="1" ht="12" customHeight="1" x14ac:dyDescent="0.4">
      <c r="A42" s="111" t="s">
        <v>42</v>
      </c>
      <c r="B42" s="112"/>
      <c r="C42" s="113"/>
      <c r="D42" s="112"/>
      <c r="E42" s="113"/>
      <c r="F42" s="112"/>
      <c r="G42" s="113"/>
      <c r="H42" s="112"/>
      <c r="I42" s="113"/>
      <c r="J42" s="112"/>
      <c r="K42" s="113"/>
      <c r="L42" s="112"/>
      <c r="M42" s="113"/>
      <c r="N42" s="112"/>
      <c r="O42" s="113"/>
      <c r="P42" s="112"/>
      <c r="Q42" s="113"/>
    </row>
    <row r="43" spans="1:17" s="97" customFormat="1" ht="12" customHeight="1" x14ac:dyDescent="0.4">
      <c r="A43" s="24" t="s">
        <v>43</v>
      </c>
      <c r="B43" s="29" t="s">
        <v>58</v>
      </c>
      <c r="C43" s="126" t="s">
        <v>59</v>
      </c>
      <c r="D43" s="25">
        <v>1602</v>
      </c>
      <c r="E43" s="84">
        <v>-24.43</v>
      </c>
      <c r="F43" s="25">
        <v>3659</v>
      </c>
      <c r="G43" s="84">
        <v>7.27</v>
      </c>
      <c r="H43" s="29" t="s">
        <v>58</v>
      </c>
      <c r="I43" s="126" t="s">
        <v>59</v>
      </c>
      <c r="J43" s="25">
        <v>1683</v>
      </c>
      <c r="K43" s="84">
        <v>-22.69</v>
      </c>
      <c r="L43" s="25">
        <v>3890</v>
      </c>
      <c r="M43" s="84">
        <v>-0.23</v>
      </c>
      <c r="N43" s="25">
        <v>1732</v>
      </c>
      <c r="O43" s="84">
        <v>5.29</v>
      </c>
      <c r="P43" s="26">
        <v>2310</v>
      </c>
      <c r="Q43" s="84">
        <v>-19.12</v>
      </c>
    </row>
    <row r="44" spans="1:17" s="97" customFormat="1" ht="12" customHeight="1" x14ac:dyDescent="0.4">
      <c r="A44" s="21" t="s">
        <v>44</v>
      </c>
      <c r="B44" s="22">
        <v>2876</v>
      </c>
      <c r="C44" s="81">
        <v>20.74</v>
      </c>
      <c r="D44" s="22">
        <v>3339</v>
      </c>
      <c r="E44" s="81">
        <v>3.21</v>
      </c>
      <c r="F44" s="22">
        <v>3637</v>
      </c>
      <c r="G44" s="81">
        <v>20.309999999999999</v>
      </c>
      <c r="H44" s="23">
        <v>2843</v>
      </c>
      <c r="I44" s="82">
        <v>7.16</v>
      </c>
      <c r="J44" s="22">
        <v>2775</v>
      </c>
      <c r="K44" s="81">
        <v>14.95</v>
      </c>
      <c r="L44" s="23">
        <v>2976</v>
      </c>
      <c r="M44" s="80">
        <v>24.99</v>
      </c>
      <c r="N44" s="22">
        <v>3261</v>
      </c>
      <c r="O44" s="81">
        <v>7.23</v>
      </c>
      <c r="P44" s="23">
        <v>2754</v>
      </c>
      <c r="Q44" s="82">
        <v>3.89</v>
      </c>
    </row>
    <row r="45" spans="1:17" s="97" customFormat="1" ht="12" customHeight="1" x14ac:dyDescent="0.4">
      <c r="A45" s="24" t="s">
        <v>64</v>
      </c>
      <c r="B45" s="25">
        <v>7481</v>
      </c>
      <c r="C45" s="83">
        <v>12.09</v>
      </c>
      <c r="D45" s="25">
        <v>7928</v>
      </c>
      <c r="E45" s="84">
        <v>6.34</v>
      </c>
      <c r="F45" s="25">
        <v>4919</v>
      </c>
      <c r="G45" s="84">
        <v>-0.95</v>
      </c>
      <c r="H45" s="25">
        <v>7883</v>
      </c>
      <c r="I45" s="84">
        <v>12.95</v>
      </c>
      <c r="J45" s="25">
        <v>4091</v>
      </c>
      <c r="K45" s="84">
        <v>2.5099999999999998</v>
      </c>
      <c r="L45" s="25">
        <v>4465</v>
      </c>
      <c r="M45" s="84">
        <v>6.84</v>
      </c>
      <c r="N45" s="25">
        <v>4632</v>
      </c>
      <c r="O45" s="84">
        <v>-11.94</v>
      </c>
      <c r="P45" s="25">
        <v>5258</v>
      </c>
      <c r="Q45" s="84">
        <v>16.100000000000001</v>
      </c>
    </row>
    <row r="46" spans="1:17" s="97" customFormat="1" ht="12" customHeight="1" x14ac:dyDescent="0.4">
      <c r="A46" s="21" t="s">
        <v>45</v>
      </c>
      <c r="B46" s="22">
        <v>2338</v>
      </c>
      <c r="C46" s="81">
        <v>9.1</v>
      </c>
      <c r="D46" s="22">
        <v>2550</v>
      </c>
      <c r="E46" s="81">
        <v>-12.82</v>
      </c>
      <c r="F46" s="22">
        <v>2826</v>
      </c>
      <c r="G46" s="81">
        <v>3.4</v>
      </c>
      <c r="H46" s="23">
        <v>2079</v>
      </c>
      <c r="I46" s="82">
        <v>6.89</v>
      </c>
      <c r="J46" s="22">
        <v>2356</v>
      </c>
      <c r="K46" s="81">
        <v>-5.99</v>
      </c>
      <c r="L46" s="22">
        <v>2936</v>
      </c>
      <c r="M46" s="81">
        <v>3.42</v>
      </c>
      <c r="N46" s="22">
        <v>2049</v>
      </c>
      <c r="O46" s="81">
        <v>-18.399999999999999</v>
      </c>
      <c r="P46" s="23">
        <v>2175</v>
      </c>
      <c r="Q46" s="82">
        <v>-13.66</v>
      </c>
    </row>
    <row r="47" spans="1:17" s="97" customFormat="1" ht="12" customHeight="1" x14ac:dyDescent="0.4">
      <c r="A47" s="30" t="s">
        <v>46</v>
      </c>
      <c r="B47" s="31">
        <v>963</v>
      </c>
      <c r="C47" s="85">
        <v>2.4500000000000002</v>
      </c>
      <c r="D47" s="31">
        <v>1868</v>
      </c>
      <c r="E47" s="85">
        <v>4.01</v>
      </c>
      <c r="F47" s="31">
        <v>1236</v>
      </c>
      <c r="G47" s="85">
        <v>-8.51</v>
      </c>
      <c r="H47" s="31">
        <v>877</v>
      </c>
      <c r="I47" s="85">
        <v>-0.23</v>
      </c>
      <c r="J47" s="31">
        <v>766</v>
      </c>
      <c r="K47" s="85">
        <v>-3.77</v>
      </c>
      <c r="L47" s="31">
        <v>1475</v>
      </c>
      <c r="M47" s="85">
        <v>9.58</v>
      </c>
      <c r="N47" s="92">
        <v>1012</v>
      </c>
      <c r="O47" s="128">
        <v>7.55</v>
      </c>
      <c r="P47" s="31">
        <v>800</v>
      </c>
      <c r="Q47" s="85">
        <v>0.5</v>
      </c>
    </row>
    <row r="48" spans="1:17" s="97" customFormat="1" ht="12" customHeight="1" x14ac:dyDescent="0.4">
      <c r="A48" s="111" t="s">
        <v>65</v>
      </c>
      <c r="B48" s="112"/>
      <c r="C48" s="113"/>
      <c r="D48" s="112"/>
      <c r="E48" s="113"/>
      <c r="F48" s="112"/>
      <c r="G48" s="113"/>
      <c r="H48" s="112"/>
      <c r="I48" s="113"/>
      <c r="J48" s="112"/>
      <c r="K48" s="113"/>
      <c r="L48" s="112"/>
      <c r="M48" s="113"/>
      <c r="N48" s="112"/>
      <c r="O48" s="113"/>
      <c r="P48" s="112"/>
      <c r="Q48" s="113"/>
    </row>
    <row r="49" spans="1:25" s="97" customFormat="1" ht="12" customHeight="1" x14ac:dyDescent="0.4">
      <c r="A49" s="15" t="s">
        <v>66</v>
      </c>
      <c r="B49" s="32">
        <v>4115</v>
      </c>
      <c r="C49" s="88">
        <v>1.21</v>
      </c>
      <c r="D49" s="32">
        <v>3718</v>
      </c>
      <c r="E49" s="88">
        <v>-0.72</v>
      </c>
      <c r="F49" s="32">
        <v>4440</v>
      </c>
      <c r="G49" s="88">
        <v>2.68</v>
      </c>
      <c r="H49" s="32">
        <v>4133</v>
      </c>
      <c r="I49" s="88">
        <v>0.85</v>
      </c>
      <c r="J49" s="32">
        <v>3978</v>
      </c>
      <c r="K49" s="88">
        <v>-0.3</v>
      </c>
      <c r="L49" s="32">
        <v>3867</v>
      </c>
      <c r="M49" s="88">
        <v>-1.25</v>
      </c>
      <c r="N49" s="32">
        <v>4049</v>
      </c>
      <c r="O49" s="88">
        <v>1.33</v>
      </c>
      <c r="P49" s="32">
        <v>4104</v>
      </c>
      <c r="Q49" s="88">
        <v>1.31</v>
      </c>
    </row>
    <row r="50" spans="1:25" s="97" customFormat="1" ht="12" customHeight="1" x14ac:dyDescent="0.4">
      <c r="A50" s="33" t="s">
        <v>67</v>
      </c>
      <c r="B50" s="93" t="s">
        <v>58</v>
      </c>
      <c r="C50" s="77" t="s">
        <v>59</v>
      </c>
      <c r="D50" s="34">
        <v>3976</v>
      </c>
      <c r="E50" s="87">
        <v>-2.62</v>
      </c>
      <c r="F50" s="34">
        <v>4262</v>
      </c>
      <c r="G50" s="87">
        <v>0.02</v>
      </c>
      <c r="H50" s="34">
        <v>4438</v>
      </c>
      <c r="I50" s="87">
        <v>-0.27</v>
      </c>
      <c r="J50" s="34">
        <v>4573</v>
      </c>
      <c r="K50" s="87">
        <v>-2.4300000000000002</v>
      </c>
      <c r="L50" s="34">
        <v>3567</v>
      </c>
      <c r="M50" s="87">
        <v>0.2</v>
      </c>
      <c r="N50" s="34">
        <v>4072</v>
      </c>
      <c r="O50" s="87">
        <v>0.2</v>
      </c>
      <c r="P50" s="34">
        <v>3940</v>
      </c>
      <c r="Q50" s="87">
        <v>0</v>
      </c>
    </row>
    <row r="51" spans="1:25" s="97" customFormat="1" ht="12" customHeight="1" x14ac:dyDescent="0.4">
      <c r="A51" s="15" t="s">
        <v>68</v>
      </c>
      <c r="B51" s="32">
        <v>7617</v>
      </c>
      <c r="C51" s="88">
        <v>1.65</v>
      </c>
      <c r="D51" s="32">
        <v>9918</v>
      </c>
      <c r="E51" s="88">
        <v>5.12</v>
      </c>
      <c r="F51" s="32">
        <v>7985</v>
      </c>
      <c r="G51" s="88">
        <v>-0.87</v>
      </c>
      <c r="H51" s="32">
        <v>7500</v>
      </c>
      <c r="I51" s="88">
        <v>-9.64</v>
      </c>
      <c r="J51" s="32">
        <v>7483</v>
      </c>
      <c r="K51" s="88">
        <v>-2.1800000000000002</v>
      </c>
      <c r="L51" s="32">
        <v>7167</v>
      </c>
      <c r="M51" s="88">
        <v>0.2</v>
      </c>
      <c r="N51" s="32">
        <v>12150</v>
      </c>
      <c r="O51" s="88">
        <v>1.25</v>
      </c>
      <c r="P51" s="32">
        <v>10743</v>
      </c>
      <c r="Q51" s="88">
        <v>3.9</v>
      </c>
    </row>
    <row r="52" spans="1:25" s="97" customFormat="1" ht="12" customHeight="1" x14ac:dyDescent="0.4">
      <c r="A52" s="33" t="s">
        <v>69</v>
      </c>
      <c r="B52" s="93" t="s">
        <v>58</v>
      </c>
      <c r="C52" s="77" t="s">
        <v>59</v>
      </c>
      <c r="D52" s="34">
        <v>9085</v>
      </c>
      <c r="E52" s="87">
        <v>-0.54</v>
      </c>
      <c r="F52" s="34">
        <v>7059</v>
      </c>
      <c r="G52" s="87">
        <v>-2.3199999999999998</v>
      </c>
      <c r="H52" s="93" t="s">
        <v>58</v>
      </c>
      <c r="I52" s="77" t="s">
        <v>59</v>
      </c>
      <c r="J52" s="93" t="s">
        <v>58</v>
      </c>
      <c r="K52" s="77" t="s">
        <v>59</v>
      </c>
      <c r="L52" s="34">
        <v>6842</v>
      </c>
      <c r="M52" s="87">
        <v>-4.6500000000000004</v>
      </c>
      <c r="N52" s="34">
        <v>6962</v>
      </c>
      <c r="O52" s="87">
        <v>5.12</v>
      </c>
      <c r="P52" s="34">
        <v>6670</v>
      </c>
      <c r="Q52" s="87">
        <v>-4.92</v>
      </c>
    </row>
    <row r="53" spans="1:25" s="97" customFormat="1" ht="12" customHeight="1" x14ac:dyDescent="0.4">
      <c r="A53" s="15" t="s">
        <v>70</v>
      </c>
      <c r="B53" s="32">
        <v>6837</v>
      </c>
      <c r="C53" s="88">
        <v>3.17</v>
      </c>
      <c r="D53" s="32">
        <v>6685</v>
      </c>
      <c r="E53" s="88">
        <v>1.61</v>
      </c>
      <c r="F53" s="32">
        <v>7693</v>
      </c>
      <c r="G53" s="88">
        <v>0.34</v>
      </c>
      <c r="H53" s="32">
        <v>7000</v>
      </c>
      <c r="I53" s="88">
        <v>-5.08</v>
      </c>
      <c r="J53" s="32">
        <v>6400</v>
      </c>
      <c r="K53" s="88">
        <v>-5.88</v>
      </c>
      <c r="L53" s="32">
        <v>6735</v>
      </c>
      <c r="M53" s="88">
        <v>-2.72</v>
      </c>
      <c r="N53" s="32">
        <v>6993</v>
      </c>
      <c r="O53" s="88">
        <v>1.03</v>
      </c>
      <c r="P53" s="32">
        <v>6773</v>
      </c>
      <c r="Q53" s="88">
        <v>-0.54</v>
      </c>
    </row>
    <row r="54" spans="1:25" s="97" customFormat="1" ht="12" customHeight="1" x14ac:dyDescent="0.4">
      <c r="A54" s="33" t="s">
        <v>71</v>
      </c>
      <c r="B54" s="34">
        <v>2001</v>
      </c>
      <c r="C54" s="87">
        <v>7.12</v>
      </c>
      <c r="D54" s="34">
        <v>2039</v>
      </c>
      <c r="E54" s="87">
        <v>2.21</v>
      </c>
      <c r="F54" s="93" t="s">
        <v>58</v>
      </c>
      <c r="G54" s="77" t="s">
        <v>59</v>
      </c>
      <c r="H54" s="34">
        <v>2584</v>
      </c>
      <c r="I54" s="89">
        <v>11.38</v>
      </c>
      <c r="J54" s="34">
        <v>2200</v>
      </c>
      <c r="K54" s="87">
        <v>6.43</v>
      </c>
      <c r="L54" s="34">
        <v>2270</v>
      </c>
      <c r="M54" s="87">
        <v>1.75</v>
      </c>
      <c r="N54" s="34">
        <v>2163</v>
      </c>
      <c r="O54" s="87">
        <v>3.49</v>
      </c>
      <c r="P54" s="34">
        <v>2990</v>
      </c>
      <c r="Q54" s="87">
        <v>-1.25</v>
      </c>
    </row>
    <row r="55" spans="1:25" s="97" customFormat="1" ht="12" customHeight="1" x14ac:dyDescent="0.4">
      <c r="A55" s="15" t="s">
        <v>72</v>
      </c>
      <c r="B55" s="103" t="s">
        <v>58</v>
      </c>
      <c r="C55" s="78" t="s">
        <v>59</v>
      </c>
      <c r="D55" s="32">
        <v>460</v>
      </c>
      <c r="E55" s="90">
        <v>0.88</v>
      </c>
      <c r="F55" s="103" t="s">
        <v>58</v>
      </c>
      <c r="G55" s="78" t="s">
        <v>59</v>
      </c>
      <c r="H55" s="32">
        <v>491</v>
      </c>
      <c r="I55" s="88">
        <v>-1.6</v>
      </c>
      <c r="J55" s="32">
        <v>529</v>
      </c>
      <c r="K55" s="88">
        <v>1.54</v>
      </c>
      <c r="L55" s="32">
        <v>474</v>
      </c>
      <c r="M55" s="88">
        <v>2.82</v>
      </c>
      <c r="N55" s="32">
        <v>465</v>
      </c>
      <c r="O55" s="88">
        <v>-3.93</v>
      </c>
      <c r="P55" s="32">
        <v>500</v>
      </c>
      <c r="Q55" s="88">
        <v>-2.5299999999999998</v>
      </c>
    </row>
    <row r="56" spans="1:25" s="99" customFormat="1" ht="12" customHeight="1" x14ac:dyDescent="0.45">
      <c r="A56" s="33" t="s">
        <v>73</v>
      </c>
      <c r="B56" s="34">
        <v>19250</v>
      </c>
      <c r="C56" s="100">
        <v>-5.95</v>
      </c>
      <c r="D56" s="34">
        <v>18594</v>
      </c>
      <c r="E56" s="87">
        <v>-9.52</v>
      </c>
      <c r="F56" s="34">
        <v>21875</v>
      </c>
      <c r="G56" s="87">
        <v>-1.69</v>
      </c>
      <c r="H56" s="34">
        <v>16115</v>
      </c>
      <c r="I56" s="100">
        <v>-23.17</v>
      </c>
      <c r="J56" s="34">
        <v>19917</v>
      </c>
      <c r="K56" s="87">
        <v>-3.43</v>
      </c>
      <c r="L56" s="34">
        <v>24000</v>
      </c>
      <c r="M56" s="87">
        <v>-4.16</v>
      </c>
      <c r="N56" s="34">
        <v>21950</v>
      </c>
      <c r="O56" s="87">
        <v>-1.75</v>
      </c>
      <c r="P56" s="93" t="s">
        <v>58</v>
      </c>
      <c r="Q56" s="77" t="s">
        <v>59</v>
      </c>
      <c r="R56" s="124"/>
      <c r="S56" s="84"/>
      <c r="T56" s="124"/>
      <c r="U56" s="84"/>
      <c r="V56" s="124"/>
      <c r="W56" s="83"/>
      <c r="X56" s="124"/>
      <c r="Y56" s="84"/>
    </row>
    <row r="57" spans="1:25" s="38" customFormat="1" ht="12" customHeight="1" x14ac:dyDescent="0.45">
      <c r="A57" s="15" t="s">
        <v>74</v>
      </c>
      <c r="B57" s="32">
        <v>19500</v>
      </c>
      <c r="C57" s="88">
        <v>1.56</v>
      </c>
      <c r="D57" s="32">
        <v>17152</v>
      </c>
      <c r="E57" s="88">
        <v>-0.75</v>
      </c>
      <c r="F57" s="103" t="s">
        <v>58</v>
      </c>
      <c r="G57" s="78" t="s">
        <v>59</v>
      </c>
      <c r="H57" s="32">
        <v>19583</v>
      </c>
      <c r="I57" s="117">
        <v>-2.41</v>
      </c>
      <c r="J57" s="32">
        <v>21013</v>
      </c>
      <c r="K57" s="88">
        <v>-4.49</v>
      </c>
      <c r="L57" s="103" t="s">
        <v>58</v>
      </c>
      <c r="M57" s="78" t="s">
        <v>59</v>
      </c>
      <c r="N57" s="32">
        <v>17969</v>
      </c>
      <c r="O57" s="88">
        <v>-6.29</v>
      </c>
      <c r="P57" s="32">
        <v>18500</v>
      </c>
      <c r="Q57" s="88">
        <v>0</v>
      </c>
      <c r="S57" s="91"/>
      <c r="U57" s="91"/>
      <c r="W57" s="91"/>
      <c r="Y57" s="91"/>
    </row>
    <row r="58" spans="1:25" s="38" customFormat="1" ht="12" customHeight="1" x14ac:dyDescent="0.45">
      <c r="A58" s="33" t="s">
        <v>75</v>
      </c>
      <c r="B58" s="34">
        <v>39583</v>
      </c>
      <c r="C58" s="87">
        <v>1.49</v>
      </c>
      <c r="D58" s="34">
        <v>44313</v>
      </c>
      <c r="E58" s="87">
        <v>4.57</v>
      </c>
      <c r="F58" s="34">
        <v>80900</v>
      </c>
      <c r="G58" s="87">
        <v>0.05</v>
      </c>
      <c r="H58" s="34">
        <v>43625</v>
      </c>
      <c r="I58" s="87">
        <v>-1.89</v>
      </c>
      <c r="J58" s="77" t="s">
        <v>58</v>
      </c>
      <c r="K58" s="146" t="s">
        <v>59</v>
      </c>
      <c r="L58" s="34">
        <v>33917</v>
      </c>
      <c r="M58" s="87">
        <v>-3.28</v>
      </c>
      <c r="N58" s="34">
        <v>56888</v>
      </c>
      <c r="O58" s="87">
        <v>1.73</v>
      </c>
      <c r="P58" s="34">
        <v>35000</v>
      </c>
      <c r="Q58" s="87">
        <v>0.72</v>
      </c>
      <c r="S58" s="91"/>
      <c r="U58" s="91"/>
      <c r="W58" s="91"/>
      <c r="Y58" s="91"/>
    </row>
    <row r="59" spans="1:25" s="38" customFormat="1" ht="12" customHeight="1" x14ac:dyDescent="0.45">
      <c r="A59" s="15" t="s">
        <v>76</v>
      </c>
      <c r="B59" s="32">
        <v>7958</v>
      </c>
      <c r="C59" s="88">
        <v>-0.36</v>
      </c>
      <c r="D59" s="103">
        <v>7904</v>
      </c>
      <c r="E59" s="142">
        <v>0.84</v>
      </c>
      <c r="F59" s="103" t="s">
        <v>58</v>
      </c>
      <c r="G59" s="142" t="s">
        <v>59</v>
      </c>
      <c r="H59" s="32">
        <v>7575</v>
      </c>
      <c r="I59" s="88">
        <v>-1.1100000000000001</v>
      </c>
      <c r="J59" s="32">
        <v>8688</v>
      </c>
      <c r="K59" s="88">
        <v>-1.55</v>
      </c>
      <c r="L59" s="103" t="s">
        <v>58</v>
      </c>
      <c r="M59" s="142" t="s">
        <v>59</v>
      </c>
      <c r="N59" s="32" t="s">
        <v>58</v>
      </c>
      <c r="O59" s="88" t="s">
        <v>59</v>
      </c>
      <c r="P59" s="103" t="s">
        <v>58</v>
      </c>
      <c r="Q59" s="78" t="s">
        <v>59</v>
      </c>
      <c r="S59" s="91"/>
      <c r="U59" s="91"/>
      <c r="W59" s="91"/>
      <c r="Y59" s="91"/>
    </row>
    <row r="60" spans="1:25" s="38" customFormat="1" ht="12" customHeight="1" x14ac:dyDescent="0.45">
      <c r="A60" s="33" t="s">
        <v>77</v>
      </c>
      <c r="B60" s="34">
        <v>7436</v>
      </c>
      <c r="C60" s="87">
        <v>-3.58</v>
      </c>
      <c r="D60" s="110">
        <v>8896</v>
      </c>
      <c r="E60" s="115">
        <v>5.98</v>
      </c>
      <c r="F60" s="34">
        <v>7684</v>
      </c>
      <c r="G60" s="87">
        <v>0.01</v>
      </c>
      <c r="H60" s="34">
        <v>8021</v>
      </c>
      <c r="I60" s="89">
        <v>-2.68</v>
      </c>
      <c r="J60" s="34">
        <v>11240</v>
      </c>
      <c r="K60" s="87">
        <v>2.12</v>
      </c>
      <c r="L60" s="93" t="s">
        <v>58</v>
      </c>
      <c r="M60" s="77" t="s">
        <v>59</v>
      </c>
      <c r="N60" s="34">
        <v>7267</v>
      </c>
      <c r="O60" s="87">
        <v>-0.44</v>
      </c>
      <c r="P60" s="34">
        <v>7128</v>
      </c>
      <c r="Q60" s="87">
        <v>-16.89</v>
      </c>
      <c r="S60" s="91"/>
      <c r="U60" s="91"/>
      <c r="W60" s="91"/>
      <c r="Y60" s="91"/>
    </row>
    <row r="61" spans="1:25" s="38" customFormat="1" ht="12" customHeight="1" x14ac:dyDescent="0.45">
      <c r="A61" s="15" t="s">
        <v>78</v>
      </c>
      <c r="B61" s="32">
        <v>3779</v>
      </c>
      <c r="C61" s="88">
        <v>0</v>
      </c>
      <c r="D61" s="32">
        <v>3968</v>
      </c>
      <c r="E61" s="88">
        <v>-2</v>
      </c>
      <c r="F61" s="32">
        <v>4100</v>
      </c>
      <c r="G61" s="88">
        <v>0.42</v>
      </c>
      <c r="H61" s="32">
        <v>3534</v>
      </c>
      <c r="I61" s="88">
        <v>-4.25</v>
      </c>
      <c r="J61" s="32">
        <v>3870</v>
      </c>
      <c r="K61" s="88">
        <v>-0.56999999999999995</v>
      </c>
      <c r="L61" s="103" t="s">
        <v>58</v>
      </c>
      <c r="M61" s="78" t="s">
        <v>59</v>
      </c>
      <c r="N61" s="32">
        <v>3767</v>
      </c>
      <c r="O61" s="88">
        <v>-4.07</v>
      </c>
      <c r="P61" s="103" t="s">
        <v>58</v>
      </c>
      <c r="Q61" s="78" t="s">
        <v>59</v>
      </c>
      <c r="S61" s="91"/>
      <c r="U61" s="91"/>
      <c r="W61" s="91"/>
      <c r="Y61" s="91"/>
    </row>
    <row r="62" spans="1:25" s="38" customFormat="1" ht="12" customHeight="1" x14ac:dyDescent="0.45">
      <c r="A62" s="33" t="s">
        <v>79</v>
      </c>
      <c r="B62" s="34">
        <v>23233</v>
      </c>
      <c r="C62" s="87">
        <v>8.23</v>
      </c>
      <c r="D62" s="34">
        <v>23445</v>
      </c>
      <c r="E62" s="87">
        <v>12.55</v>
      </c>
      <c r="F62" s="34">
        <v>22240</v>
      </c>
      <c r="G62" s="87">
        <v>0.01</v>
      </c>
      <c r="H62" s="34">
        <v>33500</v>
      </c>
      <c r="I62" s="87">
        <v>9.4700000000000006</v>
      </c>
      <c r="J62" s="34" t="s">
        <v>58</v>
      </c>
      <c r="K62" s="87" t="s">
        <v>59</v>
      </c>
      <c r="L62" s="93">
        <v>20521</v>
      </c>
      <c r="M62" s="77">
        <v>1.08</v>
      </c>
      <c r="N62" s="34" t="s">
        <v>58</v>
      </c>
      <c r="O62" s="87" t="s">
        <v>59</v>
      </c>
      <c r="P62" s="93" t="s">
        <v>58</v>
      </c>
      <c r="Q62" s="77" t="s">
        <v>59</v>
      </c>
      <c r="S62" s="91"/>
      <c r="U62" s="91"/>
      <c r="W62" s="91"/>
      <c r="Y62" s="91"/>
    </row>
    <row r="63" spans="1:25" s="38" customFormat="1" ht="12" customHeight="1" x14ac:dyDescent="0.45">
      <c r="A63" s="15" t="s">
        <v>80</v>
      </c>
      <c r="B63" s="32">
        <v>14227</v>
      </c>
      <c r="C63" s="88">
        <v>7.0000000000000007E-2</v>
      </c>
      <c r="D63" s="32">
        <v>14656</v>
      </c>
      <c r="E63" s="88">
        <v>0.3</v>
      </c>
      <c r="F63" s="32">
        <v>17066</v>
      </c>
      <c r="G63" s="88">
        <v>0.28999999999999998</v>
      </c>
      <c r="H63" s="32">
        <v>14015</v>
      </c>
      <c r="I63" s="88">
        <v>1.02</v>
      </c>
      <c r="J63" s="32">
        <v>16576</v>
      </c>
      <c r="K63" s="88">
        <v>1.1299999999999999</v>
      </c>
      <c r="L63" s="32">
        <v>15637</v>
      </c>
      <c r="M63" s="104">
        <v>-1.59</v>
      </c>
      <c r="N63" s="32">
        <v>14243</v>
      </c>
      <c r="O63" s="88">
        <v>-0.4</v>
      </c>
      <c r="P63" s="32">
        <v>17520</v>
      </c>
      <c r="Q63" s="88">
        <v>-3.16</v>
      </c>
      <c r="S63" s="91"/>
      <c r="U63" s="91"/>
      <c r="W63" s="91"/>
      <c r="Y63" s="91"/>
    </row>
    <row r="64" spans="1:25" s="38" customFormat="1" ht="12" customHeight="1" x14ac:dyDescent="0.45">
      <c r="A64" s="33" t="s">
        <v>81</v>
      </c>
      <c r="B64" s="34">
        <v>2967</v>
      </c>
      <c r="C64" s="87">
        <v>0.03</v>
      </c>
      <c r="D64" s="34">
        <v>2732</v>
      </c>
      <c r="E64" s="87">
        <v>-5.73</v>
      </c>
      <c r="F64" s="34">
        <v>3945</v>
      </c>
      <c r="G64" s="87">
        <v>8.0500000000000007</v>
      </c>
      <c r="H64" s="34">
        <v>2528</v>
      </c>
      <c r="I64" s="87">
        <v>-4.42</v>
      </c>
      <c r="J64" s="34">
        <v>4590</v>
      </c>
      <c r="K64" s="87">
        <v>-1.65</v>
      </c>
      <c r="L64" s="34">
        <v>3075</v>
      </c>
      <c r="M64" s="100">
        <v>-1.03</v>
      </c>
      <c r="N64" s="34">
        <v>3760</v>
      </c>
      <c r="O64" s="87">
        <v>-1.08</v>
      </c>
      <c r="P64" s="34">
        <v>3759</v>
      </c>
      <c r="Q64" s="87">
        <v>-2.2400000000000002</v>
      </c>
      <c r="S64" s="91"/>
      <c r="U64" s="91"/>
      <c r="W64" s="91"/>
      <c r="Y64" s="91"/>
    </row>
    <row r="65" spans="1:25" s="38" customFormat="1" ht="12" customHeight="1" x14ac:dyDescent="0.45">
      <c r="A65" s="15" t="s">
        <v>82</v>
      </c>
      <c r="B65" s="32">
        <v>3009</v>
      </c>
      <c r="C65" s="88">
        <v>1.42</v>
      </c>
      <c r="D65" s="32">
        <v>3899</v>
      </c>
      <c r="E65" s="104">
        <v>0.59</v>
      </c>
      <c r="F65" s="32">
        <v>3208</v>
      </c>
      <c r="G65" s="88">
        <v>-0.87</v>
      </c>
      <c r="H65" s="32">
        <v>3438</v>
      </c>
      <c r="I65" s="88">
        <v>-1.06</v>
      </c>
      <c r="J65" s="32">
        <v>4875</v>
      </c>
      <c r="K65" s="90">
        <v>0.43</v>
      </c>
      <c r="L65" s="32">
        <v>2825</v>
      </c>
      <c r="M65" s="88">
        <v>-1.22</v>
      </c>
      <c r="N65" s="103" t="s">
        <v>58</v>
      </c>
      <c r="O65" s="78" t="s">
        <v>59</v>
      </c>
      <c r="P65" s="32">
        <v>3587</v>
      </c>
      <c r="Q65" s="88">
        <v>-1.1299999999999999</v>
      </c>
      <c r="S65" s="91"/>
      <c r="U65" s="91"/>
      <c r="W65" s="91"/>
      <c r="Y65" s="91"/>
    </row>
    <row r="66" spans="1:25" s="38" customFormat="1" ht="12" customHeight="1" x14ac:dyDescent="0.45">
      <c r="A66" s="33" t="s">
        <v>83</v>
      </c>
      <c r="B66" s="34">
        <v>39537</v>
      </c>
      <c r="C66" s="87">
        <v>0.59</v>
      </c>
      <c r="D66" s="34">
        <v>38203</v>
      </c>
      <c r="E66" s="89">
        <v>1.77</v>
      </c>
      <c r="F66" s="93" t="s">
        <v>58</v>
      </c>
      <c r="G66" s="77" t="s">
        <v>59</v>
      </c>
      <c r="H66" s="34">
        <v>37153</v>
      </c>
      <c r="I66" s="87">
        <v>0.38</v>
      </c>
      <c r="J66" s="34">
        <v>36806</v>
      </c>
      <c r="K66" s="89">
        <v>3.92</v>
      </c>
      <c r="L66" s="93" t="s">
        <v>58</v>
      </c>
      <c r="M66" s="77" t="s">
        <v>59</v>
      </c>
      <c r="N66" s="34">
        <v>35538</v>
      </c>
      <c r="O66" s="87">
        <v>-0.48</v>
      </c>
      <c r="P66" s="93" t="s">
        <v>58</v>
      </c>
      <c r="Q66" s="77" t="s">
        <v>59</v>
      </c>
      <c r="S66" s="91"/>
      <c r="U66" s="91"/>
      <c r="W66" s="91"/>
      <c r="Y66" s="91"/>
    </row>
    <row r="67" spans="1:25" s="38" customFormat="1" ht="12" customHeight="1" x14ac:dyDescent="0.45">
      <c r="A67" s="15" t="s">
        <v>84</v>
      </c>
      <c r="B67" s="32">
        <v>36053</v>
      </c>
      <c r="C67" s="117">
        <v>0.21</v>
      </c>
      <c r="D67" s="32">
        <v>28940</v>
      </c>
      <c r="E67" s="88">
        <v>1.87</v>
      </c>
      <c r="F67" s="32">
        <v>35402</v>
      </c>
      <c r="G67" s="88">
        <v>0.01</v>
      </c>
      <c r="H67" s="103" t="s">
        <v>58</v>
      </c>
      <c r="I67" s="78" t="s">
        <v>59</v>
      </c>
      <c r="J67" s="32">
        <v>27829</v>
      </c>
      <c r="K67" s="88">
        <v>-0.73</v>
      </c>
      <c r="L67" s="32">
        <v>29453</v>
      </c>
      <c r="M67" s="88">
        <v>1.32</v>
      </c>
      <c r="N67" s="32">
        <v>29858</v>
      </c>
      <c r="O67" s="88">
        <v>-4.7</v>
      </c>
      <c r="P67" s="103" t="s">
        <v>58</v>
      </c>
      <c r="Q67" s="142" t="s">
        <v>59</v>
      </c>
      <c r="R67" s="125"/>
      <c r="S67" s="40"/>
      <c r="T67" s="125"/>
      <c r="U67" s="40"/>
      <c r="V67" s="125"/>
      <c r="W67" s="40"/>
      <c r="X67" s="125"/>
      <c r="Y67" s="40"/>
    </row>
    <row r="68" spans="1:25" s="38" customFormat="1" ht="12" customHeight="1" x14ac:dyDescent="0.45">
      <c r="A68" s="33" t="s">
        <v>85</v>
      </c>
      <c r="B68" s="110">
        <v>16485</v>
      </c>
      <c r="C68" s="100">
        <v>-0.28000000000000003</v>
      </c>
      <c r="D68" s="34">
        <v>14267</v>
      </c>
      <c r="E68" s="87">
        <v>-0.08</v>
      </c>
      <c r="F68" s="34">
        <v>16703</v>
      </c>
      <c r="G68" s="87">
        <v>0.14000000000000001</v>
      </c>
      <c r="H68" s="93" t="s">
        <v>58</v>
      </c>
      <c r="I68" s="77" t="s">
        <v>59</v>
      </c>
      <c r="J68" s="34">
        <v>26250</v>
      </c>
      <c r="K68" s="87">
        <v>3.45</v>
      </c>
      <c r="L68" s="93" t="s">
        <v>58</v>
      </c>
      <c r="M68" s="77" t="s">
        <v>59</v>
      </c>
      <c r="N68" s="34">
        <v>14434</v>
      </c>
      <c r="O68" s="87">
        <v>-0.06</v>
      </c>
      <c r="P68" s="93" t="s">
        <v>58</v>
      </c>
      <c r="Q68" s="141" t="s">
        <v>59</v>
      </c>
      <c r="R68" s="125"/>
      <c r="S68" s="40"/>
      <c r="T68" s="125"/>
      <c r="U68" s="40"/>
      <c r="V68" s="125"/>
      <c r="W68" s="40"/>
      <c r="X68" s="125"/>
      <c r="Y68" s="40"/>
    </row>
    <row r="69" spans="1:25" s="38" customFormat="1" ht="12" customHeight="1" x14ac:dyDescent="0.45">
      <c r="A69" s="15" t="s">
        <v>86</v>
      </c>
      <c r="B69" s="32">
        <v>4366</v>
      </c>
      <c r="C69" s="88">
        <v>0.55000000000000004</v>
      </c>
      <c r="D69" s="32">
        <v>3677</v>
      </c>
      <c r="E69" s="88">
        <v>-2.83</v>
      </c>
      <c r="F69" s="32">
        <v>3876</v>
      </c>
      <c r="G69" s="88">
        <v>6.31</v>
      </c>
      <c r="H69" s="103" t="s">
        <v>58</v>
      </c>
      <c r="I69" s="78" t="s">
        <v>59</v>
      </c>
      <c r="J69" s="32">
        <v>5517</v>
      </c>
      <c r="K69" s="88">
        <v>-0.7</v>
      </c>
      <c r="L69" s="107">
        <v>3464</v>
      </c>
      <c r="M69" s="104">
        <v>3.5</v>
      </c>
      <c r="N69" s="32">
        <v>4466</v>
      </c>
      <c r="O69" s="88">
        <v>5.9</v>
      </c>
      <c r="P69" s="32">
        <v>4990</v>
      </c>
      <c r="Q69" s="88">
        <v>-0.14000000000000001</v>
      </c>
      <c r="R69" s="125"/>
      <c r="S69" s="40"/>
      <c r="T69" s="125"/>
      <c r="U69" s="40"/>
      <c r="V69" s="125"/>
      <c r="W69" s="40"/>
      <c r="X69" s="125"/>
      <c r="Y69" s="40"/>
    </row>
    <row r="70" spans="1:25" s="38" customFormat="1" ht="12" customHeight="1" x14ac:dyDescent="0.45">
      <c r="A70" s="33" t="s">
        <v>87</v>
      </c>
      <c r="B70" s="34">
        <v>6870</v>
      </c>
      <c r="C70" s="87">
        <v>0.28000000000000003</v>
      </c>
      <c r="D70" s="34">
        <v>7302</v>
      </c>
      <c r="E70" s="87">
        <v>0.03</v>
      </c>
      <c r="F70" s="34">
        <v>7032</v>
      </c>
      <c r="G70" s="87">
        <v>2</v>
      </c>
      <c r="H70" s="34">
        <v>6542</v>
      </c>
      <c r="I70" s="87">
        <v>0.38</v>
      </c>
      <c r="J70" s="34">
        <v>7778</v>
      </c>
      <c r="K70" s="87">
        <v>2.0499999999999998</v>
      </c>
      <c r="L70" s="34">
        <v>3688</v>
      </c>
      <c r="M70" s="87">
        <v>-0.78</v>
      </c>
      <c r="N70" s="34">
        <v>7543</v>
      </c>
      <c r="O70" s="87">
        <v>-1.37</v>
      </c>
      <c r="P70" s="34">
        <v>6941</v>
      </c>
      <c r="Q70" s="87">
        <v>0</v>
      </c>
      <c r="R70" s="125"/>
      <c r="S70" s="40"/>
      <c r="T70" s="125"/>
      <c r="U70" s="40"/>
      <c r="V70" s="125"/>
      <c r="W70" s="40"/>
      <c r="X70" s="125"/>
      <c r="Y70" s="40"/>
    </row>
    <row r="71" spans="1:25" s="38" customFormat="1" ht="12" customHeight="1" x14ac:dyDescent="0.45">
      <c r="A71" s="15" t="s">
        <v>88</v>
      </c>
      <c r="B71" s="32">
        <v>20486</v>
      </c>
      <c r="C71" s="88">
        <v>-0.17</v>
      </c>
      <c r="D71" s="32">
        <v>19301</v>
      </c>
      <c r="E71" s="117">
        <v>-1.21</v>
      </c>
      <c r="F71" s="32">
        <v>17307</v>
      </c>
      <c r="G71" s="88">
        <v>1.66</v>
      </c>
      <c r="H71" s="32">
        <v>20486</v>
      </c>
      <c r="I71" s="88">
        <v>0.85</v>
      </c>
      <c r="J71" s="32">
        <v>21354</v>
      </c>
      <c r="K71" s="88">
        <v>2.5</v>
      </c>
      <c r="L71" s="103" t="s">
        <v>58</v>
      </c>
      <c r="M71" s="142" t="s">
        <v>59</v>
      </c>
      <c r="N71" s="32">
        <v>21307</v>
      </c>
      <c r="O71" s="88">
        <v>-4.51</v>
      </c>
      <c r="P71" s="103" t="s">
        <v>58</v>
      </c>
      <c r="Q71" s="78" t="s">
        <v>59</v>
      </c>
      <c r="S71" s="91"/>
      <c r="U71" s="91"/>
      <c r="W71" s="91"/>
      <c r="Y71" s="91"/>
    </row>
    <row r="72" spans="1:25" s="38" customFormat="1" ht="12" customHeight="1" x14ac:dyDescent="0.45">
      <c r="A72" s="130" t="s">
        <v>89</v>
      </c>
      <c r="B72" s="131">
        <v>11817</v>
      </c>
      <c r="C72" s="132">
        <v>-3.68</v>
      </c>
      <c r="D72" s="133">
        <v>15748</v>
      </c>
      <c r="E72" s="134">
        <v>0.25</v>
      </c>
      <c r="F72" s="143" t="s">
        <v>58</v>
      </c>
      <c r="G72" s="135" t="s">
        <v>59</v>
      </c>
      <c r="H72" s="131">
        <v>10887</v>
      </c>
      <c r="I72" s="132">
        <v>0.05</v>
      </c>
      <c r="J72" s="131">
        <v>14134</v>
      </c>
      <c r="K72" s="132">
        <v>0.78</v>
      </c>
      <c r="L72" s="133">
        <v>16740</v>
      </c>
      <c r="M72" s="136">
        <v>-0.55000000000000004</v>
      </c>
      <c r="N72" s="131">
        <v>9320</v>
      </c>
      <c r="O72" s="137">
        <v>-2.65</v>
      </c>
      <c r="P72" s="131">
        <v>18156</v>
      </c>
      <c r="Q72" s="132">
        <v>0.54</v>
      </c>
      <c r="S72" s="91"/>
      <c r="U72" s="91"/>
      <c r="W72" s="91"/>
      <c r="Y72" s="91"/>
    </row>
    <row r="73" spans="1:25" s="38" customFormat="1" x14ac:dyDescent="0.45">
      <c r="A73" s="15"/>
      <c r="B73" s="32"/>
      <c r="C73" s="88"/>
      <c r="D73" s="107"/>
      <c r="E73" s="90"/>
      <c r="F73" s="106"/>
      <c r="G73" s="78"/>
      <c r="H73" s="32"/>
      <c r="I73" s="88"/>
      <c r="J73" s="32"/>
      <c r="K73" s="88"/>
      <c r="L73" s="107"/>
      <c r="M73" s="104"/>
      <c r="N73" s="106"/>
      <c r="O73" s="108"/>
      <c r="P73" s="32"/>
      <c r="Q73" s="88"/>
      <c r="R73" s="35"/>
      <c r="S73" s="36"/>
      <c r="T73" s="35"/>
      <c r="U73" s="36"/>
      <c r="V73" s="35"/>
      <c r="W73" s="36"/>
      <c r="X73" s="35"/>
      <c r="Y73" s="36"/>
    </row>
    <row r="74" spans="1:25" s="38" customFormat="1" x14ac:dyDescent="0.45">
      <c r="A74" s="24" t="s">
        <v>12</v>
      </c>
      <c r="B74" s="39"/>
      <c r="C74" s="40"/>
      <c r="D74" s="39"/>
      <c r="E74" s="40"/>
      <c r="F74" s="39"/>
      <c r="G74" s="40"/>
      <c r="H74" s="39"/>
      <c r="I74" s="40"/>
      <c r="J74" s="39"/>
      <c r="K74" s="40"/>
      <c r="L74" s="39"/>
      <c r="M74" s="40"/>
      <c r="N74" s="39"/>
      <c r="O74" s="40"/>
      <c r="P74" s="39"/>
      <c r="Q74" s="40"/>
      <c r="R74" s="39"/>
      <c r="S74" s="40"/>
      <c r="T74" s="39"/>
      <c r="U74" s="40"/>
      <c r="V74" s="39"/>
      <c r="W74" s="40"/>
      <c r="X74" s="39"/>
      <c r="Y74" s="40"/>
    </row>
    <row r="75" spans="1:25" s="38" customFormat="1" x14ac:dyDescent="0.45">
      <c r="A75" s="41" t="s">
        <v>13</v>
      </c>
      <c r="B75" s="39"/>
      <c r="C75" s="40"/>
      <c r="D75" s="39"/>
      <c r="E75" s="40"/>
      <c r="F75" s="39"/>
      <c r="G75" s="40"/>
      <c r="H75" s="39"/>
      <c r="I75" s="40"/>
      <c r="J75" s="39"/>
      <c r="K75" s="40"/>
      <c r="L75" s="39"/>
      <c r="M75" s="40"/>
      <c r="N75" s="39"/>
      <c r="O75" s="40"/>
      <c r="P75" s="39"/>
      <c r="Q75" s="40"/>
      <c r="R75" s="39"/>
      <c r="S75" s="40"/>
      <c r="T75" s="39"/>
      <c r="U75" s="40"/>
      <c r="V75" s="39"/>
      <c r="W75" s="40"/>
      <c r="X75" s="39"/>
      <c r="Y75" s="40"/>
    </row>
    <row r="76" spans="1:25" s="38" customFormat="1" ht="19.5" customHeight="1" x14ac:dyDescent="0.45">
      <c r="A76" s="150" t="s">
        <v>49</v>
      </c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</row>
    <row r="77" spans="1:25" s="38" customFormat="1" x14ac:dyDescent="0.45">
      <c r="A77" s="24" t="s">
        <v>14</v>
      </c>
      <c r="B77" s="42"/>
      <c r="C77" s="43"/>
      <c r="D77" s="44"/>
      <c r="E77" s="43"/>
      <c r="F77" s="44"/>
      <c r="G77" s="43"/>
      <c r="H77" s="45"/>
      <c r="I77" s="43"/>
      <c r="J77" s="42"/>
      <c r="K77" s="43"/>
      <c r="L77" s="44"/>
      <c r="M77" s="43"/>
      <c r="N77" s="44"/>
      <c r="O77" s="43"/>
      <c r="P77" s="45"/>
      <c r="Q77" s="43"/>
      <c r="R77" s="44"/>
      <c r="S77" s="46"/>
      <c r="T77" s="44"/>
      <c r="U77" s="46"/>
      <c r="V77" s="44"/>
      <c r="W77" s="46"/>
      <c r="X77" s="44"/>
      <c r="Y77" s="46"/>
    </row>
    <row r="78" spans="1:25" s="38" customFormat="1" x14ac:dyDescent="0.45">
      <c r="A78" s="47" t="s">
        <v>15</v>
      </c>
      <c r="B78" s="39"/>
      <c r="C78" s="40"/>
      <c r="D78" s="39"/>
      <c r="E78" s="40"/>
      <c r="F78" s="39"/>
      <c r="G78" s="40"/>
      <c r="H78" s="39"/>
      <c r="I78" s="40"/>
      <c r="J78" s="39"/>
      <c r="K78" s="40"/>
      <c r="L78" s="39"/>
      <c r="M78" s="40"/>
      <c r="N78" s="39"/>
      <c r="O78" s="40"/>
      <c r="P78" s="39"/>
      <c r="Q78" s="40"/>
      <c r="R78" s="39"/>
      <c r="S78" s="40"/>
      <c r="T78" s="39"/>
      <c r="U78" s="40"/>
      <c r="V78" s="39"/>
      <c r="W78" s="40"/>
      <c r="X78" s="39"/>
      <c r="Y78" s="40"/>
    </row>
    <row r="80" spans="1:25" x14ac:dyDescent="0.45">
      <c r="A80" s="8" t="str">
        <f>+Índice!A14</f>
        <v>Fecha de actualización: 9 de julio de 2024</v>
      </c>
      <c r="B80" s="6"/>
      <c r="C80" s="7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</row>
  </sheetData>
  <mergeCells count="11">
    <mergeCell ref="A76:Y76"/>
    <mergeCell ref="A4:Q5"/>
    <mergeCell ref="H9:I9"/>
    <mergeCell ref="J9:K9"/>
    <mergeCell ref="L9:M9"/>
    <mergeCell ref="N9:O9"/>
    <mergeCell ref="P9:Q9"/>
    <mergeCell ref="A9:A10"/>
    <mergeCell ref="B9:C9"/>
    <mergeCell ref="D9:E9"/>
    <mergeCell ref="F9:G9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2012-A8C4-4438-9A11-59B020FA0AB4}">
  <dimension ref="A1:I55"/>
  <sheetViews>
    <sheetView showGridLines="0" zoomScale="70" zoomScaleNormal="70" workbookViewId="0">
      <selection activeCell="A6" sqref="A6"/>
    </sheetView>
  </sheetViews>
  <sheetFormatPr baseColWidth="10" defaultColWidth="11.453125" defaultRowHeight="16" x14ac:dyDescent="0.45"/>
  <cols>
    <col min="1" max="1" width="24.453125" style="54" customWidth="1"/>
    <col min="2" max="2" width="12" style="54" bestFit="1" customWidth="1"/>
    <col min="3" max="3" width="9.453125" style="54" customWidth="1"/>
    <col min="4" max="4" width="13.54296875" style="54" bestFit="1" customWidth="1"/>
    <col min="5" max="5" width="12" style="54" customWidth="1"/>
    <col min="6" max="6" width="10.26953125" style="54" customWidth="1"/>
    <col min="7" max="7" width="9.453125" style="54" customWidth="1"/>
    <col min="8" max="8" width="10.54296875" style="54" customWidth="1"/>
    <col min="9" max="9" width="9.26953125" style="54" customWidth="1"/>
    <col min="10" max="16384" width="11.453125" style="54"/>
  </cols>
  <sheetData>
    <row r="1" spans="1:9" s="48" customFormat="1" ht="18" customHeight="1" x14ac:dyDescent="0.4"/>
    <row r="2" spans="1:9" s="48" customFormat="1" ht="33" customHeight="1" x14ac:dyDescent="0.4"/>
    <row r="3" spans="1:9" s="48" customFormat="1" ht="19" customHeight="1" x14ac:dyDescent="0.4"/>
    <row r="4" spans="1:9" s="48" customFormat="1" ht="18.75" customHeight="1" x14ac:dyDescent="0.4">
      <c r="A4" s="157" t="s">
        <v>0</v>
      </c>
      <c r="B4" s="157"/>
      <c r="C4" s="157"/>
      <c r="D4" s="157"/>
      <c r="E4" s="157"/>
      <c r="F4" s="157"/>
      <c r="G4" s="157"/>
      <c r="H4" s="157"/>
      <c r="I4" s="157"/>
    </row>
    <row r="5" spans="1:9" s="48" customFormat="1" ht="24" customHeight="1" x14ac:dyDescent="0.4">
      <c r="A5" s="157"/>
      <c r="B5" s="157"/>
      <c r="C5" s="157"/>
      <c r="D5" s="157"/>
      <c r="E5" s="157"/>
      <c r="F5" s="157"/>
      <c r="G5" s="157"/>
      <c r="H5" s="157"/>
      <c r="I5" s="157"/>
    </row>
    <row r="6" spans="1:9" s="48" customFormat="1" ht="18.75" customHeight="1" x14ac:dyDescent="0.4">
      <c r="A6" s="49" t="s">
        <v>16</v>
      </c>
      <c r="B6" s="50"/>
      <c r="C6" s="50"/>
      <c r="D6" s="50"/>
      <c r="E6" s="50"/>
      <c r="F6" s="50"/>
      <c r="G6" s="50"/>
      <c r="H6" s="50"/>
      <c r="I6" s="50"/>
    </row>
    <row r="7" spans="1:9" s="48" customFormat="1" ht="15" customHeight="1" x14ac:dyDescent="0.4">
      <c r="A7" s="49" t="str">
        <f>+"Variación año corrido. "&amp;Índice!A7</f>
        <v>Variación año corrido. Junio de 2024</v>
      </c>
      <c r="B7" s="50"/>
      <c r="C7" s="50"/>
      <c r="D7" s="50"/>
      <c r="E7" s="50"/>
      <c r="F7" s="50"/>
      <c r="G7" s="50"/>
      <c r="H7" s="50"/>
      <c r="I7" s="50"/>
    </row>
    <row r="8" spans="1:9" s="48" customFormat="1" ht="14" x14ac:dyDescent="0.4"/>
    <row r="9" spans="1:9" x14ac:dyDescent="0.45">
      <c r="A9" s="51" t="s">
        <v>50</v>
      </c>
      <c r="B9" s="52" t="s">
        <v>2</v>
      </c>
      <c r="C9" s="52" t="s">
        <v>3</v>
      </c>
      <c r="D9" s="52" t="s">
        <v>4</v>
      </c>
      <c r="E9" s="53" t="s">
        <v>5</v>
      </c>
      <c r="F9" s="52" t="s">
        <v>6</v>
      </c>
      <c r="G9" s="52" t="s">
        <v>7</v>
      </c>
      <c r="H9" s="52" t="s">
        <v>8</v>
      </c>
      <c r="I9" s="52" t="s">
        <v>9</v>
      </c>
    </row>
    <row r="10" spans="1:9" ht="14" customHeight="1" x14ac:dyDescent="0.45">
      <c r="A10" s="55" t="s">
        <v>17</v>
      </c>
      <c r="B10" s="55"/>
      <c r="C10" s="55"/>
      <c r="D10" s="55"/>
      <c r="E10" s="55"/>
      <c r="F10" s="55"/>
      <c r="G10" s="55"/>
      <c r="H10" s="55"/>
      <c r="I10" s="55"/>
    </row>
    <row r="11" spans="1:9" ht="14" customHeight="1" x14ac:dyDescent="0.45">
      <c r="A11" s="1" t="s">
        <v>18</v>
      </c>
      <c r="B11" s="59">
        <v>30.978660779985255</v>
      </c>
      <c r="C11" s="56">
        <v>-22.34185733512787</v>
      </c>
      <c r="D11" s="56">
        <v>-19.008264462809919</v>
      </c>
      <c r="E11" s="116" t="s">
        <v>59</v>
      </c>
      <c r="F11" s="56">
        <v>-24.040276903713032</v>
      </c>
      <c r="G11" s="56">
        <v>-0.48426150121066991</v>
      </c>
      <c r="H11" s="56">
        <v>-21.310043668122258</v>
      </c>
      <c r="I11" s="56">
        <v>-11.710677382319169</v>
      </c>
    </row>
    <row r="12" spans="1:9" ht="14" customHeight="1" x14ac:dyDescent="0.45">
      <c r="A12" s="94" t="s">
        <v>19</v>
      </c>
      <c r="B12" s="57">
        <v>-0.70365902694007332</v>
      </c>
      <c r="C12" s="57">
        <v>42.216044479745854</v>
      </c>
      <c r="D12" s="57">
        <v>30.593699515347318</v>
      </c>
      <c r="E12" s="118" t="s">
        <v>59</v>
      </c>
      <c r="F12" s="57">
        <v>13.525068013991426</v>
      </c>
      <c r="G12" s="57">
        <v>11.23104249214375</v>
      </c>
      <c r="H12" s="57">
        <v>74.264445232187114</v>
      </c>
      <c r="I12" s="114" t="s">
        <v>59</v>
      </c>
    </row>
    <row r="13" spans="1:9" ht="14" customHeight="1" x14ac:dyDescent="0.45">
      <c r="A13" s="1" t="s">
        <v>20</v>
      </c>
      <c r="B13" s="56">
        <v>82.930107526881727</v>
      </c>
      <c r="C13" s="56">
        <v>109.1484464902186</v>
      </c>
      <c r="D13" s="56">
        <v>52.930728241563038</v>
      </c>
      <c r="E13" s="56">
        <v>90.467706013362999</v>
      </c>
      <c r="F13" s="56">
        <v>90.277777777777786</v>
      </c>
      <c r="G13" s="56">
        <v>58.195876288659811</v>
      </c>
      <c r="H13" s="56">
        <v>103.75128468653645</v>
      </c>
      <c r="I13" s="56">
        <v>83.186705767350972</v>
      </c>
    </row>
    <row r="14" spans="1:9" ht="14" customHeight="1" x14ac:dyDescent="0.45">
      <c r="A14" s="94" t="s">
        <v>21</v>
      </c>
      <c r="B14" s="58">
        <v>-33.182005777961187</v>
      </c>
      <c r="C14" s="57">
        <v>-16.056338028169016</v>
      </c>
      <c r="D14" s="57">
        <v>-22.546728971962615</v>
      </c>
      <c r="E14" s="119">
        <v>-29.177135678391963</v>
      </c>
      <c r="F14" s="61">
        <v>4.8755186721991972</v>
      </c>
      <c r="G14" s="57">
        <v>-43.549295774647902</v>
      </c>
      <c r="H14" s="57">
        <v>-2.9694323144104806</v>
      </c>
      <c r="I14" s="57">
        <v>3.0804597701149516</v>
      </c>
    </row>
    <row r="15" spans="1:9" ht="14" customHeight="1" x14ac:dyDescent="0.45">
      <c r="A15" s="1" t="s">
        <v>22</v>
      </c>
      <c r="B15" s="116" t="s">
        <v>59</v>
      </c>
      <c r="C15" s="56">
        <v>21.104651162790677</v>
      </c>
      <c r="D15" s="56">
        <v>69.496855345911897</v>
      </c>
      <c r="E15" s="56">
        <v>35.550277117973053</v>
      </c>
      <c r="F15" s="56">
        <v>6.0671722643553361</v>
      </c>
      <c r="G15" s="56">
        <v>34.054054054054042</v>
      </c>
      <c r="H15" s="56">
        <v>-6.1478090255068789</v>
      </c>
      <c r="I15" s="120" t="s">
        <v>59</v>
      </c>
    </row>
    <row r="16" spans="1:9" ht="14" customHeight="1" x14ac:dyDescent="0.45">
      <c r="A16" s="94" t="s">
        <v>23</v>
      </c>
      <c r="B16" s="57">
        <v>-6.8194680249009316</v>
      </c>
      <c r="C16" s="57">
        <v>72.227579556412707</v>
      </c>
      <c r="D16" s="57">
        <v>37.587484561547967</v>
      </c>
      <c r="E16" s="57">
        <v>-4.4634668297156788</v>
      </c>
      <c r="F16" s="57">
        <v>11.355159552424364</v>
      </c>
      <c r="G16" s="57">
        <v>-11.943481738203122</v>
      </c>
      <c r="H16" s="57">
        <v>-55.70588235294116</v>
      </c>
      <c r="I16" s="57">
        <v>0.82406262875980296</v>
      </c>
    </row>
    <row r="17" spans="1:9" ht="14" customHeight="1" x14ac:dyDescent="0.45">
      <c r="A17" s="1" t="s">
        <v>24</v>
      </c>
      <c r="B17" s="56">
        <v>5.5666666666666753</v>
      </c>
      <c r="C17" s="56">
        <v>12.770216172938342</v>
      </c>
      <c r="D17" s="56">
        <v>-20.567375886524829</v>
      </c>
      <c r="E17" s="56">
        <v>-2.340202584701323</v>
      </c>
      <c r="F17" s="56">
        <v>25.350877192982459</v>
      </c>
      <c r="G17" s="56">
        <v>-12.788632326820636</v>
      </c>
      <c r="H17" s="56">
        <v>-7.1373157486423704</v>
      </c>
      <c r="I17" s="56">
        <v>15.207373271889345</v>
      </c>
    </row>
    <row r="18" spans="1:9" ht="14" customHeight="1" x14ac:dyDescent="0.45">
      <c r="A18" s="94" t="s">
        <v>25</v>
      </c>
      <c r="B18" s="57">
        <v>119.31818181818184</v>
      </c>
      <c r="C18" s="57">
        <v>98.336304218657205</v>
      </c>
      <c r="D18" s="57">
        <v>98.069498069498025</v>
      </c>
      <c r="E18" s="57">
        <v>85.541195476575169</v>
      </c>
      <c r="F18" s="57">
        <v>107.85781103835367</v>
      </c>
      <c r="G18" s="57">
        <v>99.907918968692471</v>
      </c>
      <c r="H18" s="57">
        <v>55.081127241673755</v>
      </c>
      <c r="I18" s="57">
        <v>75.295974743488543</v>
      </c>
    </row>
    <row r="19" spans="1:9" ht="14" customHeight="1" x14ac:dyDescent="0.45">
      <c r="A19" s="1" t="s">
        <v>26</v>
      </c>
      <c r="B19" s="56">
        <v>12.802148612354491</v>
      </c>
      <c r="C19" s="56">
        <v>55.329076620825155</v>
      </c>
      <c r="D19" s="56">
        <v>12.220447284345038</v>
      </c>
      <c r="E19" s="56">
        <v>33.355886332882221</v>
      </c>
      <c r="F19" s="56">
        <v>51.700446581930578</v>
      </c>
      <c r="G19" s="56">
        <v>21.389172625127671</v>
      </c>
      <c r="H19" s="56">
        <v>35.746173469387756</v>
      </c>
      <c r="I19" s="56">
        <v>41.151515151515163</v>
      </c>
    </row>
    <row r="20" spans="1:9" ht="14" customHeight="1" x14ac:dyDescent="0.45">
      <c r="A20" s="94" t="s">
        <v>27</v>
      </c>
      <c r="B20" s="57">
        <v>-19.621451104100974</v>
      </c>
      <c r="C20" s="57">
        <v>-10.400682011935213</v>
      </c>
      <c r="D20" s="57">
        <v>-34.125636672325996</v>
      </c>
      <c r="E20" s="57">
        <v>-26.809015421115067</v>
      </c>
      <c r="F20" s="57">
        <v>-31.595282433271255</v>
      </c>
      <c r="G20" s="57">
        <v>-13.476923076923075</v>
      </c>
      <c r="H20" s="57">
        <v>-15.023923444976095</v>
      </c>
      <c r="I20" s="121">
        <v>-24.095646842427954</v>
      </c>
    </row>
    <row r="21" spans="1:9" ht="14" customHeight="1" x14ac:dyDescent="0.45">
      <c r="A21" s="1" t="s">
        <v>28</v>
      </c>
      <c r="B21" s="56">
        <v>-33.59912015397304</v>
      </c>
      <c r="C21" s="56">
        <v>-37.326142492194158</v>
      </c>
      <c r="D21" s="56">
        <v>-39.250309789343241</v>
      </c>
      <c r="E21" s="59">
        <v>-34.780264222162316</v>
      </c>
      <c r="F21" s="59">
        <v>-21.780858437749927</v>
      </c>
      <c r="G21" s="59">
        <v>-54.933481152993359</v>
      </c>
      <c r="H21" s="56">
        <v>-34.843373493975925</v>
      </c>
      <c r="I21" s="56">
        <v>-27.602523659305987</v>
      </c>
    </row>
    <row r="22" spans="1:9" ht="14" customHeight="1" x14ac:dyDescent="0.45">
      <c r="A22" s="95" t="s">
        <v>29</v>
      </c>
      <c r="B22" s="63">
        <v>17.144373673036117</v>
      </c>
      <c r="C22" s="60">
        <v>40.156657963446477</v>
      </c>
      <c r="D22" s="60">
        <v>21.408450704225345</v>
      </c>
      <c r="E22" s="60">
        <v>17.777777777777782</v>
      </c>
      <c r="F22" s="60">
        <v>50.918762088974809</v>
      </c>
      <c r="G22" s="60">
        <v>2.29528535980148</v>
      </c>
      <c r="H22" s="60">
        <v>-50.764525993883794</v>
      </c>
      <c r="I22" s="79">
        <v>20.85478887744592</v>
      </c>
    </row>
    <row r="23" spans="1:9" ht="14" customHeight="1" x14ac:dyDescent="0.45">
      <c r="A23" s="144" t="s">
        <v>30</v>
      </c>
      <c r="B23" s="144"/>
      <c r="C23" s="144"/>
      <c r="D23" s="144"/>
      <c r="E23" s="144"/>
      <c r="F23" s="144"/>
      <c r="G23" s="144"/>
      <c r="H23" s="144"/>
      <c r="I23" s="144"/>
    </row>
    <row r="24" spans="1:9" ht="14" customHeight="1" x14ac:dyDescent="0.45">
      <c r="A24" s="1" t="s">
        <v>48</v>
      </c>
      <c r="B24" s="116" t="s">
        <v>59</v>
      </c>
      <c r="C24" s="56">
        <v>-44.284064665127019</v>
      </c>
      <c r="D24" s="59">
        <v>-25.787053413512538</v>
      </c>
      <c r="E24" s="116" t="s">
        <v>59</v>
      </c>
      <c r="F24" s="59">
        <v>-51.598700073382943</v>
      </c>
      <c r="G24" s="120" t="s">
        <v>59</v>
      </c>
      <c r="H24" s="56">
        <v>-54.605032182562894</v>
      </c>
      <c r="I24" s="116" t="s">
        <v>59</v>
      </c>
    </row>
    <row r="25" spans="1:9" ht="14" customHeight="1" x14ac:dyDescent="0.45">
      <c r="A25" s="94" t="s">
        <v>31</v>
      </c>
      <c r="B25" s="57">
        <v>47.637795275590534</v>
      </c>
      <c r="C25" s="57">
        <v>25.222419928825612</v>
      </c>
      <c r="D25" s="57">
        <v>66.060009837678322</v>
      </c>
      <c r="E25" s="118" t="s">
        <v>59</v>
      </c>
      <c r="F25" s="57">
        <v>48.822406110757456</v>
      </c>
      <c r="G25" s="57">
        <v>65.096153846153811</v>
      </c>
      <c r="H25" s="57">
        <v>21.66482910694598</v>
      </c>
      <c r="I25" s="57">
        <v>38.445667125171965</v>
      </c>
    </row>
    <row r="26" spans="1:9" ht="14" customHeight="1" x14ac:dyDescent="0.45">
      <c r="A26" s="1" t="s">
        <v>32</v>
      </c>
      <c r="B26" s="59">
        <v>42.313725490196099</v>
      </c>
      <c r="C26" s="56">
        <v>-18.084625809366074</v>
      </c>
      <c r="D26" s="116" t="s">
        <v>59</v>
      </c>
      <c r="E26" s="56">
        <v>1.526251526251543</v>
      </c>
      <c r="F26" s="56">
        <v>-9.6954196698442416</v>
      </c>
      <c r="G26" s="116" t="s">
        <v>59</v>
      </c>
      <c r="H26" s="56">
        <v>-21.780303030303038</v>
      </c>
      <c r="I26" s="59">
        <v>-31.855722231586046</v>
      </c>
    </row>
    <row r="27" spans="1:9" ht="14" customHeight="1" x14ac:dyDescent="0.45">
      <c r="A27" s="94" t="s">
        <v>33</v>
      </c>
      <c r="B27" s="118" t="s">
        <v>59</v>
      </c>
      <c r="C27" s="57">
        <v>57.729794571899859</v>
      </c>
      <c r="D27" s="57">
        <v>49.96727320329888</v>
      </c>
      <c r="E27" s="114" t="s">
        <v>59</v>
      </c>
      <c r="F27" s="61">
        <v>38.912776412776438</v>
      </c>
      <c r="G27" s="61">
        <v>17.162471395880985</v>
      </c>
      <c r="H27" s="57">
        <v>55.141926477431305</v>
      </c>
      <c r="I27" s="57" t="s">
        <v>59</v>
      </c>
    </row>
    <row r="28" spans="1:9" ht="14" customHeight="1" x14ac:dyDescent="0.45">
      <c r="A28" s="1" t="s">
        <v>34</v>
      </c>
      <c r="B28" s="56">
        <v>-5.4115278127359723</v>
      </c>
      <c r="C28" s="56">
        <v>80.967570441254622</v>
      </c>
      <c r="D28" s="56">
        <v>-27.20207253886009</v>
      </c>
      <c r="E28" s="56">
        <v>9.0909090909090828</v>
      </c>
      <c r="F28" s="59">
        <v>26.482701812191078</v>
      </c>
      <c r="G28" s="56">
        <v>-1.6487730061349737</v>
      </c>
      <c r="H28" s="56">
        <v>8.6610693769332947</v>
      </c>
      <c r="I28" s="56">
        <v>26.243945398502831</v>
      </c>
    </row>
    <row r="29" spans="1:9" ht="14" customHeight="1" x14ac:dyDescent="0.45">
      <c r="A29" s="94" t="s">
        <v>55</v>
      </c>
      <c r="B29" s="61">
        <v>-33.447432762836179</v>
      </c>
      <c r="C29" s="61">
        <v>-29.803719008264462</v>
      </c>
      <c r="D29" s="57">
        <v>-46.195982958003654</v>
      </c>
      <c r="E29" s="57">
        <v>-16.247833622183705</v>
      </c>
      <c r="F29" s="61">
        <v>4.6721929163526577</v>
      </c>
      <c r="G29" s="61">
        <v>-19.68209443665263</v>
      </c>
      <c r="H29" s="57">
        <v>-30.588907947398503</v>
      </c>
      <c r="I29" s="57">
        <v>-25.820170109356035</v>
      </c>
    </row>
    <row r="30" spans="1:9" ht="14" customHeight="1" x14ac:dyDescent="0.45">
      <c r="A30" s="1" t="s">
        <v>35</v>
      </c>
      <c r="B30" s="56">
        <v>76.99326526178578</v>
      </c>
      <c r="C30" s="56">
        <v>68.942547876769325</v>
      </c>
      <c r="D30" s="56">
        <v>89.190785587714075</v>
      </c>
      <c r="E30" s="56">
        <v>61.76020965276259</v>
      </c>
      <c r="F30" s="56">
        <v>52.532013969732283</v>
      </c>
      <c r="G30" s="56">
        <v>51.551793631600205</v>
      </c>
      <c r="H30" s="56">
        <v>102.27805695142376</v>
      </c>
      <c r="I30" s="56">
        <v>73.59059391015974</v>
      </c>
    </row>
    <row r="31" spans="1:9" ht="14" customHeight="1" x14ac:dyDescent="0.45">
      <c r="A31" s="94" t="s">
        <v>36</v>
      </c>
      <c r="B31" s="57">
        <v>44.405897658282797</v>
      </c>
      <c r="C31" s="57">
        <v>65.520206362854694</v>
      </c>
      <c r="D31" s="57" t="s">
        <v>59</v>
      </c>
      <c r="E31" s="114" t="s">
        <v>59</v>
      </c>
      <c r="F31" s="61">
        <v>2.8571428571428248</v>
      </c>
      <c r="G31" s="57">
        <v>73.9483020780537</v>
      </c>
      <c r="H31" s="57">
        <v>20.879120879120872</v>
      </c>
      <c r="I31" s="57" t="s">
        <v>59</v>
      </c>
    </row>
    <row r="32" spans="1:9" ht="14" customHeight="1" x14ac:dyDescent="0.45">
      <c r="A32" s="1" t="s">
        <v>37</v>
      </c>
      <c r="B32" s="62">
        <v>-14.80611045828436</v>
      </c>
      <c r="C32" s="62">
        <v>7.7970878346641737</v>
      </c>
      <c r="D32" s="56">
        <v>15.66364385820278</v>
      </c>
      <c r="E32" s="120" t="s">
        <v>59</v>
      </c>
      <c r="F32" s="56">
        <v>20.365646258503411</v>
      </c>
      <c r="G32" s="116" t="s">
        <v>59</v>
      </c>
      <c r="H32" s="56">
        <v>-0.69259456579651157</v>
      </c>
      <c r="I32" s="62">
        <v>29.396325459317584</v>
      </c>
    </row>
    <row r="33" spans="1:9" ht="14" customHeight="1" x14ac:dyDescent="0.45">
      <c r="A33" s="94" t="s">
        <v>51</v>
      </c>
      <c r="B33" s="114" t="s">
        <v>59</v>
      </c>
      <c r="C33" s="57">
        <v>-13.881415047334356</v>
      </c>
      <c r="D33" s="57">
        <v>-10.918247080252886</v>
      </c>
      <c r="E33" s="57">
        <v>-12.458665629255016</v>
      </c>
      <c r="F33" s="57">
        <v>-19.629741422678325</v>
      </c>
      <c r="G33" s="57">
        <v>-21.731123388581953</v>
      </c>
      <c r="H33" s="57">
        <v>-16.068806377176404</v>
      </c>
      <c r="I33" s="57">
        <v>-22.811645173896057</v>
      </c>
    </row>
    <row r="34" spans="1:9" ht="14" customHeight="1" x14ac:dyDescent="0.45">
      <c r="A34" s="1" t="s">
        <v>38</v>
      </c>
      <c r="B34" s="59">
        <v>41.176470588235304</v>
      </c>
      <c r="C34" s="56">
        <v>28.934010152284294</v>
      </c>
      <c r="D34" s="56">
        <v>25.204838080374547</v>
      </c>
      <c r="E34" s="116" t="s">
        <v>59</v>
      </c>
      <c r="F34" s="56">
        <v>15.038092083471334</v>
      </c>
      <c r="G34" s="56">
        <v>10.698537943838481</v>
      </c>
      <c r="H34" s="56">
        <v>62.649089767733798</v>
      </c>
      <c r="I34" s="56">
        <v>14.904298713523678</v>
      </c>
    </row>
    <row r="35" spans="1:9" ht="14" customHeight="1" x14ac:dyDescent="0.45">
      <c r="A35" s="94" t="s">
        <v>39</v>
      </c>
      <c r="B35" s="57">
        <v>10.391156462585061</v>
      </c>
      <c r="C35" s="57">
        <v>-2.4076241431198908</v>
      </c>
      <c r="D35" s="57">
        <v>-1.2331041024424505</v>
      </c>
      <c r="E35" s="57">
        <v>-3.0218687872763383</v>
      </c>
      <c r="F35" s="57">
        <v>-1.8113207547169607</v>
      </c>
      <c r="G35" s="57">
        <v>15.24859046642748</v>
      </c>
      <c r="H35" s="57">
        <v>10.970357233341744</v>
      </c>
      <c r="I35" s="57">
        <v>9.8418277680140562</v>
      </c>
    </row>
    <row r="36" spans="1:9" ht="14" customHeight="1" x14ac:dyDescent="0.45">
      <c r="A36" s="1" t="s">
        <v>57</v>
      </c>
      <c r="B36" s="116" t="s">
        <v>59</v>
      </c>
      <c r="C36" s="56">
        <v>26.081342801807605</v>
      </c>
      <c r="D36" s="56">
        <v>26.274065685164196</v>
      </c>
      <c r="E36" s="59">
        <v>24.365079365079367</v>
      </c>
      <c r="F36" s="122">
        <v>0.93457943925232545</v>
      </c>
      <c r="G36" s="59">
        <v>72.044088176352645</v>
      </c>
      <c r="H36" s="56">
        <v>37.271619975639481</v>
      </c>
      <c r="I36" s="56">
        <v>-23.480083857442359</v>
      </c>
    </row>
    <row r="37" spans="1:9" ht="14" customHeight="1" x14ac:dyDescent="0.45">
      <c r="A37" s="94" t="s">
        <v>56</v>
      </c>
      <c r="B37" s="118" t="s">
        <v>59</v>
      </c>
      <c r="C37" s="61">
        <v>97.10144927536237</v>
      </c>
      <c r="D37" s="57">
        <v>57.429718875502012</v>
      </c>
      <c r="E37" s="61">
        <v>63.481481481481474</v>
      </c>
      <c r="F37" s="57">
        <v>13.290229885057503</v>
      </c>
      <c r="G37" s="57">
        <v>28.152173913043519</v>
      </c>
      <c r="H37" s="57">
        <v>-1.4469453376205754</v>
      </c>
      <c r="I37" s="57">
        <v>26.345213137665979</v>
      </c>
    </row>
    <row r="38" spans="1:9" ht="14" customHeight="1" x14ac:dyDescent="0.45">
      <c r="A38" s="1" t="s">
        <v>40</v>
      </c>
      <c r="B38" s="56">
        <v>-3.5705430200843158</v>
      </c>
      <c r="C38" s="56">
        <v>-4.6129032258064413</v>
      </c>
      <c r="D38" s="56">
        <v>-15.651604453176127</v>
      </c>
      <c r="E38" s="59">
        <v>-21.453472780906413</v>
      </c>
      <c r="F38" s="59">
        <v>-19.174829326209554</v>
      </c>
      <c r="G38" s="56" t="s">
        <v>59</v>
      </c>
      <c r="H38" s="59">
        <v>-35.547263681592035</v>
      </c>
      <c r="I38" s="59">
        <v>-23.605338000437548</v>
      </c>
    </row>
    <row r="39" spans="1:9" ht="14" customHeight="1" x14ac:dyDescent="0.45">
      <c r="A39" s="95" t="s">
        <v>41</v>
      </c>
      <c r="B39" s="60">
        <v>137.18647764449292</v>
      </c>
      <c r="C39" s="60">
        <v>132.60309278350513</v>
      </c>
      <c r="D39" s="60">
        <v>195.3091684434967</v>
      </c>
      <c r="E39" s="60">
        <v>176.32880098887517</v>
      </c>
      <c r="F39" s="60">
        <v>218.16000000000005</v>
      </c>
      <c r="G39" s="63">
        <v>7.2499999999999565</v>
      </c>
      <c r="H39" s="60">
        <v>195.47977795400473</v>
      </c>
      <c r="I39" s="60">
        <v>94.268167860798371</v>
      </c>
    </row>
    <row r="40" spans="1:9" ht="14" customHeight="1" x14ac:dyDescent="0.45">
      <c r="A40" s="144" t="s">
        <v>42</v>
      </c>
      <c r="B40" s="144"/>
      <c r="C40" s="144"/>
      <c r="D40" s="144"/>
      <c r="E40" s="144"/>
      <c r="F40" s="144"/>
      <c r="G40" s="144"/>
      <c r="H40" s="144"/>
      <c r="I40" s="144"/>
    </row>
    <row r="41" spans="1:9" ht="14" customHeight="1" x14ac:dyDescent="0.45">
      <c r="A41" s="1" t="s">
        <v>43</v>
      </c>
      <c r="B41" s="120" t="s">
        <v>59</v>
      </c>
      <c r="C41" s="56">
        <v>-42.291066282420751</v>
      </c>
      <c r="D41" s="56">
        <v>6.8009340338587299</v>
      </c>
      <c r="E41" s="120" t="s">
        <v>59</v>
      </c>
      <c r="F41" s="56">
        <v>-44.104948522085685</v>
      </c>
      <c r="G41" s="56">
        <v>1.1703511053316129</v>
      </c>
      <c r="H41" s="56">
        <v>-9.6504955659885265</v>
      </c>
      <c r="I41" s="59">
        <v>-26.806083650190093</v>
      </c>
    </row>
    <row r="42" spans="1:9" ht="14" customHeight="1" x14ac:dyDescent="0.45">
      <c r="A42" s="94" t="s">
        <v>44</v>
      </c>
      <c r="B42" s="57">
        <v>86.632057105775488</v>
      </c>
      <c r="C42" s="57">
        <v>72.915587778353185</v>
      </c>
      <c r="D42" s="57">
        <v>110.59640995946727</v>
      </c>
      <c r="E42" s="57">
        <v>67.926757235676277</v>
      </c>
      <c r="F42" s="57">
        <v>46.670190274841453</v>
      </c>
      <c r="G42" s="61">
        <v>119.40667490729294</v>
      </c>
      <c r="H42" s="57">
        <v>47.824116047144202</v>
      </c>
      <c r="I42" s="57">
        <v>84.406779661016998</v>
      </c>
    </row>
    <row r="43" spans="1:9" ht="14" customHeight="1" x14ac:dyDescent="0.45">
      <c r="A43" s="1" t="s">
        <v>52</v>
      </c>
      <c r="B43" s="59">
        <v>95.684017787078218</v>
      </c>
      <c r="C43" s="56">
        <v>95.270935960591203</v>
      </c>
      <c r="D43" s="56">
        <v>81.379056047197622</v>
      </c>
      <c r="E43" s="56">
        <v>89.814591861305075</v>
      </c>
      <c r="F43" s="56">
        <v>35.868482231816671</v>
      </c>
      <c r="G43" s="56">
        <v>57.273687918281048</v>
      </c>
      <c r="H43" s="56">
        <v>105.22817899867078</v>
      </c>
      <c r="I43" s="56">
        <v>46.953605366126318</v>
      </c>
    </row>
    <row r="44" spans="1:9" ht="14" customHeight="1" x14ac:dyDescent="0.45">
      <c r="A44" s="94" t="s">
        <v>45</v>
      </c>
      <c r="B44" s="57">
        <v>-1.4749262536873031</v>
      </c>
      <c r="C44" s="57">
        <v>10.629067245119316</v>
      </c>
      <c r="D44" s="57">
        <v>-5.3583389149363336</v>
      </c>
      <c r="E44" s="57">
        <v>49.78386167146973</v>
      </c>
      <c r="F44" s="57">
        <v>6.4137308039746932</v>
      </c>
      <c r="G44" s="57">
        <v>-3.7377049180327804</v>
      </c>
      <c r="H44" s="57">
        <v>-6.5663474692202577</v>
      </c>
      <c r="I44" s="57">
        <v>1.730589335827859</v>
      </c>
    </row>
    <row r="45" spans="1:9" ht="14" customHeight="1" x14ac:dyDescent="0.45">
      <c r="A45" s="96" t="s">
        <v>46</v>
      </c>
      <c r="B45" s="64">
        <v>-28.026905829596416</v>
      </c>
      <c r="C45" s="64">
        <v>7.9145002888503457</v>
      </c>
      <c r="D45" s="64">
        <v>-38.599105812220571</v>
      </c>
      <c r="E45" s="64">
        <v>-21.696428571428573</v>
      </c>
      <c r="F45" s="64">
        <v>-35.084745762711847</v>
      </c>
      <c r="G45" s="64">
        <v>-31.33147113594039</v>
      </c>
      <c r="H45" s="64">
        <v>-18.087318087318096</v>
      </c>
      <c r="I45" s="64">
        <v>-16.666666666666664</v>
      </c>
    </row>
    <row r="46" spans="1:9" x14ac:dyDescent="0.45">
      <c r="A46" s="48"/>
      <c r="B46" s="56"/>
      <c r="C46" s="56"/>
      <c r="D46" s="56"/>
      <c r="E46" s="56"/>
      <c r="F46" s="56"/>
      <c r="G46" s="56"/>
      <c r="H46" s="56"/>
      <c r="I46" s="56"/>
    </row>
    <row r="47" spans="1:9" x14ac:dyDescent="0.45">
      <c r="A47" s="65" t="s">
        <v>12</v>
      </c>
      <c r="B47" s="66"/>
      <c r="C47" s="67"/>
      <c r="D47" s="67"/>
      <c r="E47" s="66"/>
      <c r="F47" s="67"/>
      <c r="G47" s="67"/>
      <c r="H47" s="67"/>
      <c r="I47" s="67"/>
    </row>
    <row r="48" spans="1:9" x14ac:dyDescent="0.45">
      <c r="A48" s="68" t="s">
        <v>54</v>
      </c>
      <c r="B48" s="68"/>
      <c r="C48" s="68"/>
      <c r="D48" s="68"/>
      <c r="E48" s="68"/>
      <c r="F48" s="68"/>
      <c r="G48" s="68"/>
      <c r="H48" s="68"/>
      <c r="I48" s="68"/>
    </row>
    <row r="49" spans="1:9" x14ac:dyDescent="0.45">
      <c r="A49" s="69" t="s">
        <v>14</v>
      </c>
      <c r="B49" s="66"/>
      <c r="C49" s="67"/>
      <c r="D49" s="67"/>
      <c r="E49" s="66"/>
      <c r="F49" s="67"/>
      <c r="G49" s="67"/>
      <c r="H49" s="67"/>
      <c r="I49" s="67"/>
    </row>
    <row r="50" spans="1:9" x14ac:dyDescent="0.45">
      <c r="A50" s="70" t="s">
        <v>15</v>
      </c>
      <c r="B50" s="71"/>
      <c r="C50" s="71"/>
      <c r="D50" s="71"/>
      <c r="E50" s="71"/>
      <c r="F50" s="71"/>
      <c r="G50" s="71"/>
      <c r="H50" s="71"/>
      <c r="I50" s="71"/>
    </row>
    <row r="51" spans="1:9" x14ac:dyDescent="0.45">
      <c r="A51" s="70"/>
      <c r="B51" s="6"/>
      <c r="C51" s="7"/>
      <c r="D51" s="6"/>
      <c r="E51" s="7"/>
      <c r="F51" s="6"/>
      <c r="G51" s="7"/>
      <c r="H51" s="6"/>
      <c r="I51" s="7"/>
    </row>
    <row r="52" spans="1:9" x14ac:dyDescent="0.45">
      <c r="A52" s="72" t="str">
        <f>+Índice!A14</f>
        <v>Fecha de actualización: 9 de julio de 2024</v>
      </c>
      <c r="B52" s="6"/>
      <c r="C52" s="7"/>
      <c r="D52" s="6"/>
      <c r="E52" s="7"/>
      <c r="F52" s="6"/>
      <c r="G52" s="7"/>
      <c r="H52" s="6"/>
      <c r="I52" s="7"/>
    </row>
    <row r="53" spans="1:9" x14ac:dyDescent="0.45">
      <c r="A53" s="70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70"/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70"/>
      <c r="B55" s="6"/>
      <c r="C55" s="7"/>
      <c r="D55" s="6"/>
      <c r="E55" s="7"/>
      <c r="F55" s="6"/>
      <c r="G55" s="7"/>
      <c r="H55" s="6"/>
      <c r="I55" s="7"/>
    </row>
  </sheetData>
  <mergeCells count="1">
    <mergeCell ref="A4:I5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5B01-133B-4735-A10B-A521B9ED8989}">
  <dimension ref="A1:I55"/>
  <sheetViews>
    <sheetView showGridLines="0" workbookViewId="0">
      <selection activeCell="A6" sqref="A6"/>
    </sheetView>
  </sheetViews>
  <sheetFormatPr baseColWidth="10" defaultColWidth="11.453125" defaultRowHeight="16" x14ac:dyDescent="0.45"/>
  <cols>
    <col min="1" max="1" width="24.453125" style="54" customWidth="1"/>
    <col min="2" max="2" width="12" style="54" bestFit="1" customWidth="1"/>
    <col min="3" max="3" width="9.453125" style="54" customWidth="1"/>
    <col min="4" max="4" width="13.54296875" style="54" bestFit="1" customWidth="1"/>
    <col min="5" max="5" width="12" style="54" customWidth="1"/>
    <col min="6" max="6" width="10.26953125" style="54" customWidth="1"/>
    <col min="7" max="7" width="9.453125" style="54" customWidth="1"/>
    <col min="8" max="8" width="10.54296875" style="54" customWidth="1"/>
    <col min="9" max="9" width="9.26953125" style="54" customWidth="1"/>
    <col min="10" max="16384" width="11.453125" style="54"/>
  </cols>
  <sheetData>
    <row r="1" spans="1:9" s="48" customFormat="1" ht="18.5" customHeight="1" x14ac:dyDescent="0.4"/>
    <row r="2" spans="1:9" s="48" customFormat="1" ht="33" customHeight="1" x14ac:dyDescent="0.4"/>
    <row r="3" spans="1:9" s="48" customFormat="1" ht="19" customHeight="1" x14ac:dyDescent="0.4"/>
    <row r="4" spans="1:9" s="48" customFormat="1" ht="18.75" customHeight="1" x14ac:dyDescent="0.4">
      <c r="A4" s="157" t="s">
        <v>0</v>
      </c>
      <c r="B4" s="157"/>
      <c r="C4" s="157"/>
      <c r="D4" s="157"/>
      <c r="E4" s="157"/>
      <c r="F4" s="157"/>
      <c r="G4" s="157"/>
      <c r="H4" s="157"/>
      <c r="I4" s="157"/>
    </row>
    <row r="5" spans="1:9" s="48" customFormat="1" ht="27.75" customHeight="1" x14ac:dyDescent="0.4">
      <c r="A5" s="157"/>
      <c r="B5" s="157"/>
      <c r="C5" s="157"/>
      <c r="D5" s="157"/>
      <c r="E5" s="157"/>
      <c r="F5" s="157"/>
      <c r="G5" s="157"/>
      <c r="H5" s="157"/>
      <c r="I5" s="157"/>
    </row>
    <row r="6" spans="1:9" s="48" customFormat="1" ht="18.75" customHeight="1" x14ac:dyDescent="0.4">
      <c r="A6" s="49" t="s">
        <v>16</v>
      </c>
      <c r="B6" s="50"/>
      <c r="C6" s="50"/>
      <c r="D6" s="50"/>
      <c r="E6" s="50"/>
      <c r="F6" s="50"/>
      <c r="G6" s="50"/>
      <c r="H6" s="50"/>
      <c r="I6" s="50"/>
    </row>
    <row r="7" spans="1:9" s="48" customFormat="1" ht="15" customHeight="1" x14ac:dyDescent="0.4">
      <c r="A7" s="49" t="str">
        <f>+"Variación anual. "&amp;Índice!A7</f>
        <v>Variación anual. Junio de 2024</v>
      </c>
      <c r="B7" s="50"/>
      <c r="C7" s="50"/>
      <c r="D7" s="50"/>
      <c r="E7" s="50"/>
      <c r="F7" s="50"/>
      <c r="G7" s="50"/>
      <c r="H7" s="50"/>
      <c r="I7" s="50"/>
    </row>
    <row r="8" spans="1:9" s="48" customFormat="1" ht="14" x14ac:dyDescent="0.4"/>
    <row r="9" spans="1:9" x14ac:dyDescent="0.45">
      <c r="A9" s="51" t="s">
        <v>50</v>
      </c>
      <c r="B9" s="73" t="s">
        <v>2</v>
      </c>
      <c r="C9" s="73" t="s">
        <v>3</v>
      </c>
      <c r="D9" s="73" t="s">
        <v>4</v>
      </c>
      <c r="E9" s="74" t="s">
        <v>5</v>
      </c>
      <c r="F9" s="73" t="s">
        <v>6</v>
      </c>
      <c r="G9" s="73" t="s">
        <v>7</v>
      </c>
      <c r="H9" s="73" t="s">
        <v>8</v>
      </c>
      <c r="I9" s="73" t="s">
        <v>9</v>
      </c>
    </row>
    <row r="10" spans="1:9" ht="14" customHeight="1" x14ac:dyDescent="0.45">
      <c r="A10" s="55" t="s">
        <v>17</v>
      </c>
      <c r="B10" s="55"/>
      <c r="C10" s="55"/>
      <c r="D10" s="55"/>
      <c r="E10" s="55"/>
      <c r="F10" s="55"/>
      <c r="G10" s="55"/>
      <c r="H10" s="55"/>
      <c r="I10" s="55"/>
    </row>
    <row r="11" spans="1:9" ht="14" customHeight="1" x14ac:dyDescent="0.45">
      <c r="A11" s="1" t="s">
        <v>18</v>
      </c>
      <c r="B11" s="59">
        <v>155.01432664756442</v>
      </c>
      <c r="C11" s="56">
        <v>20.041608876560325</v>
      </c>
      <c r="D11" s="56">
        <v>25.506937033084263</v>
      </c>
      <c r="E11" s="116" t="s">
        <v>59</v>
      </c>
      <c r="F11" s="56">
        <v>22.41379310344831</v>
      </c>
      <c r="G11" s="56">
        <v>35.980148883374682</v>
      </c>
      <c r="H11" s="56">
        <v>10.824108241082421</v>
      </c>
      <c r="I11" s="56">
        <v>9.8571428571428754</v>
      </c>
    </row>
    <row r="12" spans="1:9" ht="14" customHeight="1" x14ac:dyDescent="0.45">
      <c r="A12" s="94" t="s">
        <v>19</v>
      </c>
      <c r="B12" s="57">
        <v>-0.73359461360668066</v>
      </c>
      <c r="C12" s="57">
        <v>1.2583062349780905</v>
      </c>
      <c r="D12" s="57">
        <v>-12.347519653022509</v>
      </c>
      <c r="E12" s="118" t="s">
        <v>59</v>
      </c>
      <c r="F12" s="57">
        <v>-9.6644502860677601</v>
      </c>
      <c r="G12" s="57">
        <v>-1.7024873219029124</v>
      </c>
      <c r="H12" s="57">
        <v>22.654690618762462</v>
      </c>
      <c r="I12" s="114" t="s">
        <v>59</v>
      </c>
    </row>
    <row r="13" spans="1:9" ht="14" customHeight="1" x14ac:dyDescent="0.45">
      <c r="A13" s="1" t="s">
        <v>20</v>
      </c>
      <c r="B13" s="56">
        <v>176.81355932203391</v>
      </c>
      <c r="C13" s="56">
        <v>242.60131950989626</v>
      </c>
      <c r="D13" s="56">
        <v>110.00000000000001</v>
      </c>
      <c r="E13" s="56">
        <v>196.12188365650968</v>
      </c>
      <c r="F13" s="56">
        <v>195.41778975741235</v>
      </c>
      <c r="G13" s="56">
        <v>160.74766355140184</v>
      </c>
      <c r="H13" s="56">
        <v>222.88273615635171</v>
      </c>
      <c r="I13" s="56">
        <v>178.45468053491825</v>
      </c>
    </row>
    <row r="14" spans="1:9" ht="14" customHeight="1" x14ac:dyDescent="0.45">
      <c r="A14" s="94" t="s">
        <v>21</v>
      </c>
      <c r="B14" s="58">
        <v>-15.01312335958006</v>
      </c>
      <c r="C14" s="57">
        <v>-21.10438729198184</v>
      </c>
      <c r="D14" s="57">
        <v>-3.4934497816593857</v>
      </c>
      <c r="E14" s="119">
        <v>-6.3926940639269407</v>
      </c>
      <c r="F14" s="61">
        <v>-20.550098231827128</v>
      </c>
      <c r="G14" s="57">
        <v>-5.6497175141243421</v>
      </c>
      <c r="H14" s="57">
        <v>1.6933638443935806</v>
      </c>
      <c r="I14" s="57">
        <v>9.7943192948090285</v>
      </c>
    </row>
    <row r="15" spans="1:9" ht="14" customHeight="1" x14ac:dyDescent="0.45">
      <c r="A15" s="1" t="s">
        <v>22</v>
      </c>
      <c r="B15" s="116" t="s">
        <v>59</v>
      </c>
      <c r="C15" s="56">
        <v>32.170050761421322</v>
      </c>
      <c r="D15" s="56">
        <v>27.72511848341226</v>
      </c>
      <c r="E15" s="56">
        <v>0.88391278727162348</v>
      </c>
      <c r="F15" s="56">
        <v>-7.9887218045112895</v>
      </c>
      <c r="G15" s="56">
        <v>-6.9168900804289386</v>
      </c>
      <c r="H15" s="56">
        <v>-12.23241590214068</v>
      </c>
      <c r="I15" s="120" t="s">
        <v>59</v>
      </c>
    </row>
    <row r="16" spans="1:9" ht="14" customHeight="1" x14ac:dyDescent="0.45">
      <c r="A16" s="94" t="s">
        <v>23</v>
      </c>
      <c r="B16" s="57">
        <v>-0.81325301204815403</v>
      </c>
      <c r="C16" s="57">
        <v>67.778299671207122</v>
      </c>
      <c r="D16" s="57">
        <v>15.241379310344815</v>
      </c>
      <c r="E16" s="57">
        <v>-7.5717243419106577</v>
      </c>
      <c r="F16" s="57">
        <v>-8.8225313878520506</v>
      </c>
      <c r="G16" s="57">
        <v>-7.8404017857142572</v>
      </c>
      <c r="H16" s="57">
        <v>-45.236363636363627</v>
      </c>
      <c r="I16" s="57">
        <v>-17.913451861791351</v>
      </c>
    </row>
    <row r="17" spans="1:9" ht="14" customHeight="1" x14ac:dyDescent="0.45">
      <c r="A17" s="1" t="s">
        <v>24</v>
      </c>
      <c r="B17" s="56">
        <v>52.626506024096372</v>
      </c>
      <c r="C17" s="56">
        <v>62.176165803108788</v>
      </c>
      <c r="D17" s="56">
        <v>44.72361809045222</v>
      </c>
      <c r="E17" s="56">
        <v>55.074875207986771</v>
      </c>
      <c r="F17" s="56">
        <v>11.379579111457527</v>
      </c>
      <c r="G17" s="56">
        <v>22.291407222914028</v>
      </c>
      <c r="H17" s="56">
        <v>19.461077844311369</v>
      </c>
      <c r="I17" s="56">
        <v>32.345156167284237</v>
      </c>
    </row>
    <row r="18" spans="1:9" ht="14" customHeight="1" x14ac:dyDescent="0.45">
      <c r="A18" s="94" t="s">
        <v>25</v>
      </c>
      <c r="B18" s="57">
        <v>79.005059021922406</v>
      </c>
      <c r="C18" s="57">
        <v>67.823026646556087</v>
      </c>
      <c r="D18" s="57">
        <v>99.030067895247285</v>
      </c>
      <c r="E18" s="57">
        <v>68.032187271397277</v>
      </c>
      <c r="F18" s="57">
        <v>118.05691854759579</v>
      </c>
      <c r="G18" s="57">
        <v>56.524873828406605</v>
      </c>
      <c r="H18" s="57">
        <v>66.758494031221289</v>
      </c>
      <c r="I18" s="57">
        <v>54.129077029840289</v>
      </c>
    </row>
    <row r="19" spans="1:9" ht="14" customHeight="1" x14ac:dyDescent="0.45">
      <c r="A19" s="1" t="s">
        <v>26</v>
      </c>
      <c r="B19" s="56">
        <v>70.270270270270203</v>
      </c>
      <c r="C19" s="56">
        <v>111.39705882352939</v>
      </c>
      <c r="D19" s="56">
        <v>50.872483221476507</v>
      </c>
      <c r="E19" s="56">
        <v>63.3876761536335</v>
      </c>
      <c r="F19" s="56">
        <v>60.465116279069761</v>
      </c>
      <c r="G19" s="56">
        <v>95.267827801511658</v>
      </c>
      <c r="H19" s="56">
        <v>100.80188679245281</v>
      </c>
      <c r="I19" s="56">
        <v>52.073130917401265</v>
      </c>
    </row>
    <row r="20" spans="1:9" ht="14" customHeight="1" x14ac:dyDescent="0.45">
      <c r="A20" s="94" t="s">
        <v>27</v>
      </c>
      <c r="B20" s="57">
        <v>-13.860716700473342</v>
      </c>
      <c r="C20" s="57">
        <v>-0.37914691943128354</v>
      </c>
      <c r="D20" s="57">
        <v>-37.670682730923723</v>
      </c>
      <c r="E20" s="57">
        <v>-22.681704260651625</v>
      </c>
      <c r="F20" s="57">
        <v>-24.520547945205472</v>
      </c>
      <c r="G20" s="57">
        <v>12.570056044835898</v>
      </c>
      <c r="H20" s="57">
        <v>15.175097276264582</v>
      </c>
      <c r="I20" s="121">
        <v>-32.936078006500523</v>
      </c>
    </row>
    <row r="21" spans="1:9" ht="14" customHeight="1" x14ac:dyDescent="0.45">
      <c r="A21" s="1" t="s">
        <v>28</v>
      </c>
      <c r="B21" s="56">
        <v>11.187845303867427</v>
      </c>
      <c r="C21" s="56">
        <v>1.8450184501844991</v>
      </c>
      <c r="D21" s="56">
        <v>-2.2432701894317009</v>
      </c>
      <c r="E21" s="59">
        <v>13.621418506340998</v>
      </c>
      <c r="F21" s="59">
        <v>19.219829337667637</v>
      </c>
      <c r="G21" s="59">
        <v>-1.0346926354230068</v>
      </c>
      <c r="H21" s="56">
        <v>38.880328710837155</v>
      </c>
      <c r="I21" s="56">
        <v>17.843388960205388</v>
      </c>
    </row>
    <row r="22" spans="1:9" ht="14" customHeight="1" x14ac:dyDescent="0.45">
      <c r="A22" s="95" t="s">
        <v>29</v>
      </c>
      <c r="B22" s="63">
        <v>2.9864675688287656</v>
      </c>
      <c r="C22" s="60">
        <v>34.401602403605366</v>
      </c>
      <c r="D22" s="60">
        <v>-10.020876826722347</v>
      </c>
      <c r="E22" s="60">
        <v>15.331355093966369</v>
      </c>
      <c r="F22" s="60">
        <v>53.592519685039328</v>
      </c>
      <c r="G22" s="60">
        <v>32.983870967741936</v>
      </c>
      <c r="H22" s="60">
        <v>-20.787207872078728</v>
      </c>
      <c r="I22" s="79">
        <v>20.668380462724944</v>
      </c>
    </row>
    <row r="23" spans="1:9" ht="14" customHeight="1" x14ac:dyDescent="0.45">
      <c r="A23" s="144" t="s">
        <v>30</v>
      </c>
      <c r="B23" s="144"/>
      <c r="C23" s="144"/>
      <c r="D23" s="144"/>
      <c r="E23" s="144"/>
      <c r="F23" s="144"/>
      <c r="G23" s="144"/>
      <c r="H23" s="144"/>
      <c r="I23" s="144"/>
    </row>
    <row r="24" spans="1:9" ht="14" customHeight="1" x14ac:dyDescent="0.45">
      <c r="A24" s="1" t="s">
        <v>48</v>
      </c>
      <c r="B24" s="116" t="s">
        <v>59</v>
      </c>
      <c r="C24" s="56">
        <v>-12.656509277417383</v>
      </c>
      <c r="D24" s="59">
        <v>-1.378878094641145</v>
      </c>
      <c r="E24" s="116" t="s">
        <v>59</v>
      </c>
      <c r="F24" s="59">
        <v>-18.671833714990292</v>
      </c>
      <c r="G24" s="120" t="s">
        <v>59</v>
      </c>
      <c r="H24" s="56">
        <v>-22.202166064981967</v>
      </c>
      <c r="I24" s="116" t="s">
        <v>59</v>
      </c>
    </row>
    <row r="25" spans="1:9" ht="14" customHeight="1" x14ac:dyDescent="0.45">
      <c r="A25" s="94" t="s">
        <v>31</v>
      </c>
      <c r="B25" s="57">
        <v>7.758620689655138</v>
      </c>
      <c r="C25" s="57">
        <v>20.608397600685493</v>
      </c>
      <c r="D25" s="57">
        <v>88.077994428969447</v>
      </c>
      <c r="E25" s="118" t="s">
        <v>59</v>
      </c>
      <c r="F25" s="57">
        <v>40.420420420420356</v>
      </c>
      <c r="G25" s="57">
        <v>55.666364460562079</v>
      </c>
      <c r="H25" s="57">
        <v>29.139847864248082</v>
      </c>
      <c r="I25" s="57">
        <v>38.255494505494546</v>
      </c>
    </row>
    <row r="26" spans="1:9" ht="14" customHeight="1" x14ac:dyDescent="0.45">
      <c r="A26" s="1" t="s">
        <v>32</v>
      </c>
      <c r="B26" s="59">
        <v>106.48648648648656</v>
      </c>
      <c r="C26" s="56">
        <v>8.8000000000000291</v>
      </c>
      <c r="D26" s="116" t="s">
        <v>59</v>
      </c>
      <c r="E26" s="56">
        <v>19.268467606980664</v>
      </c>
      <c r="F26" s="56">
        <v>5.0865800865800281</v>
      </c>
      <c r="G26" s="116" t="s">
        <v>59</v>
      </c>
      <c r="H26" s="56">
        <v>2.2910216718265985</v>
      </c>
      <c r="I26" s="59">
        <v>-1.2215978499877989</v>
      </c>
    </row>
    <row r="27" spans="1:9" ht="14" customHeight="1" x14ac:dyDescent="0.45">
      <c r="A27" s="94" t="s">
        <v>33</v>
      </c>
      <c r="B27" s="118" t="s">
        <v>59</v>
      </c>
      <c r="C27" s="57">
        <v>35.519196083483664</v>
      </c>
      <c r="D27" s="57">
        <v>29.285633675657397</v>
      </c>
      <c r="E27" s="114" t="s">
        <v>59</v>
      </c>
      <c r="F27" s="61">
        <v>38.998156115550152</v>
      </c>
      <c r="G27" s="114">
        <v>17.055326931870106</v>
      </c>
      <c r="H27" s="57">
        <v>47.218133647335804</v>
      </c>
      <c r="I27" s="57" t="s">
        <v>59</v>
      </c>
    </row>
    <row r="28" spans="1:9" ht="14" customHeight="1" x14ac:dyDescent="0.45">
      <c r="A28" s="1" t="s">
        <v>34</v>
      </c>
      <c r="B28" s="56">
        <v>-1.4941022280471894</v>
      </c>
      <c r="C28" s="56">
        <v>2.2222222222222365</v>
      </c>
      <c r="D28" s="56">
        <v>-5.1743532058492576</v>
      </c>
      <c r="E28" s="56">
        <v>12.398679075352725</v>
      </c>
      <c r="F28" s="59">
        <v>24.83739837398371</v>
      </c>
      <c r="G28" s="56">
        <v>7.8033554428413865E-2</v>
      </c>
      <c r="H28" s="56">
        <v>-1.1655948553054407</v>
      </c>
      <c r="I28" s="56">
        <v>20.310532941670157</v>
      </c>
    </row>
    <row r="29" spans="1:9" ht="14" customHeight="1" x14ac:dyDescent="0.45">
      <c r="A29" s="94" t="s">
        <v>55</v>
      </c>
      <c r="B29" s="61">
        <v>37.613751263902984</v>
      </c>
      <c r="C29" s="61">
        <v>98.394160583941613</v>
      </c>
      <c r="D29" s="57">
        <v>54.006968641114938</v>
      </c>
      <c r="E29" s="57">
        <v>67.795138888888886</v>
      </c>
      <c r="F29" s="61">
        <v>61.136890951276058</v>
      </c>
      <c r="G29" s="61">
        <v>55.194218608852765</v>
      </c>
      <c r="H29" s="57">
        <v>35.491071428571416</v>
      </c>
      <c r="I29" s="57">
        <v>27.320125130344096</v>
      </c>
    </row>
    <row r="30" spans="1:9" ht="14" customHeight="1" x14ac:dyDescent="0.45">
      <c r="A30" s="1" t="s">
        <v>35</v>
      </c>
      <c r="B30" s="56">
        <v>41.539263377345371</v>
      </c>
      <c r="C30" s="56">
        <v>24.376787903555375</v>
      </c>
      <c r="D30" s="56">
        <v>33.430535305144772</v>
      </c>
      <c r="E30" s="56">
        <v>33.051913059098226</v>
      </c>
      <c r="F30" s="56">
        <v>20.565907522429285</v>
      </c>
      <c r="G30" s="56">
        <v>30.714409873109737</v>
      </c>
      <c r="H30" s="56">
        <v>39.833256137100513</v>
      </c>
      <c r="I30" s="56">
        <v>37.324111614595743</v>
      </c>
    </row>
    <row r="31" spans="1:9" ht="14" customHeight="1" x14ac:dyDescent="0.45">
      <c r="A31" s="94" t="s">
        <v>36</v>
      </c>
      <c r="B31" s="57">
        <v>-36.54725609756094</v>
      </c>
      <c r="C31" s="57">
        <v>-19.573845832462911</v>
      </c>
      <c r="D31" s="57" t="s">
        <v>59</v>
      </c>
      <c r="E31" s="114" t="s">
        <v>59</v>
      </c>
      <c r="F31" s="61">
        <v>-11.139240506329152</v>
      </c>
      <c r="G31" s="57">
        <v>-36.338341680578743</v>
      </c>
      <c r="H31" s="57">
        <v>-27.708703374777965</v>
      </c>
      <c r="I31" s="138" t="s">
        <v>59</v>
      </c>
    </row>
    <row r="32" spans="1:9" ht="14" customHeight="1" x14ac:dyDescent="0.45">
      <c r="A32" s="1" t="s">
        <v>37</v>
      </c>
      <c r="B32" s="62">
        <v>20.632279534109841</v>
      </c>
      <c r="C32" s="62">
        <v>-38.701923076923059</v>
      </c>
      <c r="D32" s="56">
        <v>9.5238095238095113</v>
      </c>
      <c r="E32" s="120" t="s">
        <v>59</v>
      </c>
      <c r="F32" s="56">
        <v>-24.405874499332448</v>
      </c>
      <c r="G32" s="116" t="s">
        <v>59</v>
      </c>
      <c r="H32" s="56">
        <v>-32.267441860465127</v>
      </c>
      <c r="I32" s="62">
        <v>-12.121212121212132</v>
      </c>
    </row>
    <row r="33" spans="1:9" ht="14" customHeight="1" x14ac:dyDescent="0.45">
      <c r="A33" s="94" t="s">
        <v>51</v>
      </c>
      <c r="B33" s="114" t="s">
        <v>59</v>
      </c>
      <c r="C33" s="57">
        <v>-8.1907999575056127</v>
      </c>
      <c r="D33" s="57">
        <v>-4.2607093505297229</v>
      </c>
      <c r="E33" s="57">
        <v>1.7982356932820798</v>
      </c>
      <c r="F33" s="57">
        <v>-4.6891779023982565</v>
      </c>
      <c r="G33" s="57">
        <v>-2.6505235602094168</v>
      </c>
      <c r="H33" s="57">
        <v>-5.4025298498640346</v>
      </c>
      <c r="I33" s="57">
        <v>-5.9292772949160799</v>
      </c>
    </row>
    <row r="34" spans="1:9" ht="14" customHeight="1" x14ac:dyDescent="0.45">
      <c r="A34" s="1" t="s">
        <v>38</v>
      </c>
      <c r="B34" s="59">
        <v>-15.294117647058814</v>
      </c>
      <c r="C34" s="56">
        <v>0.79365079365085744</v>
      </c>
      <c r="D34" s="56">
        <v>0.15605493133585835</v>
      </c>
      <c r="E34" s="116" t="s">
        <v>59</v>
      </c>
      <c r="F34" s="56">
        <v>-7.5099866844207552</v>
      </c>
      <c r="G34" s="56">
        <v>37.463976945244994</v>
      </c>
      <c r="H34" s="56">
        <v>-20.933780897162059</v>
      </c>
      <c r="I34" s="56">
        <v>3.9750141964792984</v>
      </c>
    </row>
    <row r="35" spans="1:9" ht="14" customHeight="1" x14ac:dyDescent="0.45">
      <c r="A35" s="94" t="s">
        <v>39</v>
      </c>
      <c r="B35" s="57">
        <v>19.385690638219621</v>
      </c>
      <c r="C35" s="57">
        <v>22.806648432568878</v>
      </c>
      <c r="D35" s="57">
        <v>0.45827303424990085</v>
      </c>
      <c r="E35" s="57">
        <v>-0.143295803480048</v>
      </c>
      <c r="F35" s="57">
        <v>24.856046065259175</v>
      </c>
      <c r="G35" s="57">
        <v>9.6561814191660655</v>
      </c>
      <c r="H35" s="57">
        <v>25.825912094225757</v>
      </c>
      <c r="I35" s="57">
        <v>17.45667153894339</v>
      </c>
    </row>
    <row r="36" spans="1:9" ht="14" customHeight="1" x14ac:dyDescent="0.45">
      <c r="A36" s="1" t="s">
        <v>61</v>
      </c>
      <c r="B36" s="116" t="s">
        <v>59</v>
      </c>
      <c r="C36" s="56">
        <v>-27.072442120985805</v>
      </c>
      <c r="D36" s="56">
        <v>-42.879098360655746</v>
      </c>
      <c r="E36" s="59">
        <v>-31.869565217391283</v>
      </c>
      <c r="F36" s="122">
        <v>-33.816155988857943</v>
      </c>
      <c r="G36" s="59">
        <v>-39.754385964912316</v>
      </c>
      <c r="H36" s="56">
        <v>-19.700748129675794</v>
      </c>
      <c r="I36" s="56">
        <v>-46.921958313136201</v>
      </c>
    </row>
    <row r="37" spans="1:9" ht="14" customHeight="1" x14ac:dyDescent="0.45">
      <c r="A37" s="94" t="s">
        <v>62</v>
      </c>
      <c r="B37" s="118" t="s">
        <v>59</v>
      </c>
      <c r="C37" s="61">
        <v>4.0152963671128417</v>
      </c>
      <c r="D37" s="57">
        <v>-19.507186858316238</v>
      </c>
      <c r="E37" s="61">
        <v>-16.905120481927693</v>
      </c>
      <c r="F37" s="57">
        <v>-25.33143939393937</v>
      </c>
      <c r="G37" s="57">
        <v>-20.978552278820363</v>
      </c>
      <c r="H37" s="57">
        <v>-9.8197866862817058</v>
      </c>
      <c r="I37" s="57">
        <v>-14.515366430260034</v>
      </c>
    </row>
    <row r="38" spans="1:9" ht="14" customHeight="1" x14ac:dyDescent="0.45">
      <c r="A38" s="1" t="s">
        <v>40</v>
      </c>
      <c r="B38" s="56">
        <v>62.855946398659967</v>
      </c>
      <c r="C38" s="56">
        <v>69.844916714531962</v>
      </c>
      <c r="D38" s="56">
        <v>73.468013468013481</v>
      </c>
      <c r="E38" s="59">
        <v>43.017578124999979</v>
      </c>
      <c r="F38" s="59">
        <v>8.0984517665740654</v>
      </c>
      <c r="G38" s="56" t="s">
        <v>59</v>
      </c>
      <c r="H38" s="59">
        <v>2.2897749703908676</v>
      </c>
      <c r="I38" s="59">
        <v>20.705150362945023</v>
      </c>
    </row>
    <row r="39" spans="1:9" ht="14" customHeight="1" x14ac:dyDescent="0.45">
      <c r="A39" s="95" t="s">
        <v>41</v>
      </c>
      <c r="B39" s="60">
        <v>-4.9595805112518931</v>
      </c>
      <c r="C39" s="60">
        <v>-6.4039408866995657</v>
      </c>
      <c r="D39" s="60">
        <v>-7.233757535164143</v>
      </c>
      <c r="E39" s="60">
        <v>-6.5231026552373228</v>
      </c>
      <c r="F39" s="60">
        <v>-9.8594741613780457</v>
      </c>
      <c r="G39" s="63">
        <v>3.2242540904715566</v>
      </c>
      <c r="H39" s="60">
        <v>-9.5850521718029764</v>
      </c>
      <c r="I39" s="60">
        <v>-9.1431306845380469</v>
      </c>
    </row>
    <row r="40" spans="1:9" ht="14" customHeight="1" x14ac:dyDescent="0.45">
      <c r="A40" s="144" t="s">
        <v>42</v>
      </c>
      <c r="B40" s="144"/>
      <c r="C40" s="144"/>
      <c r="D40" s="144"/>
      <c r="E40" s="144"/>
      <c r="F40" s="144"/>
      <c r="G40" s="144"/>
      <c r="H40" s="144"/>
      <c r="I40" s="144"/>
    </row>
    <row r="41" spans="1:9" ht="14" customHeight="1" x14ac:dyDescent="0.45">
      <c r="A41" s="1" t="s">
        <v>43</v>
      </c>
      <c r="B41" s="120" t="s">
        <v>59</v>
      </c>
      <c r="C41" s="56">
        <v>-50.109000311429476</v>
      </c>
      <c r="D41" s="56">
        <v>-8.7758663674893924</v>
      </c>
      <c r="E41" s="120" t="s">
        <v>59</v>
      </c>
      <c r="F41" s="56">
        <v>-51.817921557400524</v>
      </c>
      <c r="G41" s="56">
        <v>-24.656207631222159</v>
      </c>
      <c r="H41" s="56">
        <v>-62.784701332187367</v>
      </c>
      <c r="I41" s="59">
        <v>-44.683908045976985</v>
      </c>
    </row>
    <row r="42" spans="1:9" ht="14" customHeight="1" x14ac:dyDescent="0.45">
      <c r="A42" s="94" t="s">
        <v>44</v>
      </c>
      <c r="B42" s="57">
        <v>80.426599749058965</v>
      </c>
      <c r="C42" s="57">
        <v>104.2201834862385</v>
      </c>
      <c r="D42" s="57">
        <v>129.75363234365128</v>
      </c>
      <c r="E42" s="57">
        <v>132.08163265306118</v>
      </c>
      <c r="F42" s="57">
        <v>155.76036866359445</v>
      </c>
      <c r="G42" s="61">
        <v>125.253807106599</v>
      </c>
      <c r="H42" s="57">
        <v>95.855855855855893</v>
      </c>
      <c r="I42" s="57">
        <v>164.33430515063176</v>
      </c>
    </row>
    <row r="43" spans="1:9" ht="14" customHeight="1" x14ac:dyDescent="0.45">
      <c r="A43" s="1" t="s">
        <v>52</v>
      </c>
      <c r="B43" s="59">
        <v>116.27638045677942</v>
      </c>
      <c r="C43" s="56">
        <v>111.80870959123706</v>
      </c>
      <c r="D43" s="56">
        <v>103.18050392399832</v>
      </c>
      <c r="E43" s="56">
        <v>106.84859616898446</v>
      </c>
      <c r="F43" s="56">
        <v>29.626108998732548</v>
      </c>
      <c r="G43" s="56">
        <v>77.534791252485036</v>
      </c>
      <c r="H43" s="56">
        <v>83.663758921490825</v>
      </c>
      <c r="I43" s="56">
        <v>75.500667556742343</v>
      </c>
    </row>
    <row r="44" spans="1:9" ht="14" customHeight="1" x14ac:dyDescent="0.45">
      <c r="A44" s="94" t="s">
        <v>45</v>
      </c>
      <c r="B44" s="57">
        <v>-33.786462758425372</v>
      </c>
      <c r="C44" s="57">
        <v>-21.052631578947366</v>
      </c>
      <c r="D44" s="57">
        <v>-25.395987328405468</v>
      </c>
      <c r="E44" s="57">
        <v>-47.018348623853214</v>
      </c>
      <c r="F44" s="57">
        <v>-18.023660403618646</v>
      </c>
      <c r="G44" s="57">
        <v>-11.299093655589122</v>
      </c>
      <c r="H44" s="57">
        <v>-34.786760025461497</v>
      </c>
      <c r="I44" s="57">
        <v>-19.324925816023754</v>
      </c>
    </row>
    <row r="45" spans="1:9" ht="14" customHeight="1" x14ac:dyDescent="0.45">
      <c r="A45" s="96" t="s">
        <v>46</v>
      </c>
      <c r="B45" s="64">
        <v>-51.753507014028052</v>
      </c>
      <c r="C45" s="64">
        <v>-20.239111870196414</v>
      </c>
      <c r="D45" s="64">
        <v>-44.648454993282591</v>
      </c>
      <c r="E45" s="64">
        <v>-53.051391862955036</v>
      </c>
      <c r="F45" s="64">
        <v>-57.062780269058287</v>
      </c>
      <c r="G45" s="64">
        <v>-42.696192696192689</v>
      </c>
      <c r="H45" s="64">
        <v>-40.091231626964017</v>
      </c>
      <c r="I45" s="64">
        <v>-54.207212364052658</v>
      </c>
    </row>
    <row r="46" spans="1:9" x14ac:dyDescent="0.45">
      <c r="A46" s="65"/>
      <c r="B46" s="75"/>
      <c r="C46" s="75"/>
      <c r="D46" s="75"/>
      <c r="E46" s="75"/>
      <c r="F46" s="75"/>
      <c r="G46" s="75"/>
      <c r="H46" s="75"/>
      <c r="I46" s="75"/>
    </row>
    <row r="47" spans="1:9" x14ac:dyDescent="0.45">
      <c r="A47" s="65" t="s">
        <v>12</v>
      </c>
      <c r="B47" s="66"/>
      <c r="C47" s="67"/>
      <c r="D47" s="67"/>
      <c r="E47" s="66"/>
      <c r="F47" s="67"/>
      <c r="G47" s="67"/>
      <c r="H47" s="67"/>
      <c r="I47" s="67"/>
    </row>
    <row r="48" spans="1:9" x14ac:dyDescent="0.45">
      <c r="A48" s="68" t="s">
        <v>53</v>
      </c>
      <c r="B48" s="68"/>
      <c r="C48" s="68"/>
      <c r="D48" s="68"/>
      <c r="E48" s="68"/>
      <c r="F48" s="68"/>
      <c r="G48" s="68"/>
      <c r="H48" s="68"/>
      <c r="I48" s="68"/>
    </row>
    <row r="49" spans="1:9" x14ac:dyDescent="0.45">
      <c r="A49" s="69" t="s">
        <v>14</v>
      </c>
      <c r="B49" s="66"/>
      <c r="C49" s="67"/>
      <c r="D49" s="67"/>
      <c r="E49" s="66"/>
      <c r="F49" s="67"/>
      <c r="G49" s="67"/>
      <c r="H49" s="67"/>
      <c r="I49" s="67"/>
    </row>
    <row r="50" spans="1:9" x14ac:dyDescent="0.45">
      <c r="A50" s="70" t="s">
        <v>15</v>
      </c>
      <c r="B50" s="71"/>
      <c r="C50" s="71"/>
      <c r="D50" s="71"/>
      <c r="E50" s="71"/>
      <c r="F50" s="71"/>
      <c r="G50" s="71"/>
      <c r="H50" s="71"/>
      <c r="I50" s="71"/>
    </row>
    <row r="51" spans="1:9" x14ac:dyDescent="0.45">
      <c r="A51" s="70"/>
      <c r="B51" s="6"/>
      <c r="C51" s="7"/>
      <c r="D51" s="6"/>
      <c r="E51" s="7"/>
      <c r="F51" s="6"/>
      <c r="G51" s="7"/>
      <c r="H51" s="6"/>
      <c r="I51" s="7"/>
    </row>
    <row r="52" spans="1:9" x14ac:dyDescent="0.45">
      <c r="A52" s="72" t="str">
        <f>+Índice!A14</f>
        <v>Fecha de actualización: 9 de julio de 2024</v>
      </c>
      <c r="B52" s="6"/>
      <c r="C52" s="7"/>
      <c r="D52" s="6"/>
      <c r="E52" s="7"/>
      <c r="F52" s="6"/>
      <c r="G52" s="7"/>
      <c r="H52" s="6"/>
      <c r="I52" s="7"/>
    </row>
    <row r="53" spans="1:9" x14ac:dyDescent="0.45">
      <c r="A53" s="70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70"/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70"/>
      <c r="B55" s="6"/>
      <c r="C55" s="7"/>
      <c r="D55" s="6"/>
      <c r="E55" s="7"/>
      <c r="F55" s="6"/>
      <c r="G55" s="7"/>
      <c r="H55" s="6"/>
      <c r="I55" s="7"/>
    </row>
  </sheetData>
  <mergeCells count="1">
    <mergeCell ref="A4:I5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Anexo 1</vt:lpstr>
      <vt:lpstr>Anexo 2</vt:lpstr>
      <vt:lpstr>Anexo 3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LMChaparroC</dc:creator>
  <cp:lastModifiedBy>Elsa Beatriz Hernandez Gomez</cp:lastModifiedBy>
  <cp:lastPrinted>2018-10-02T21:35:14Z</cp:lastPrinted>
  <dcterms:created xsi:type="dcterms:W3CDTF">2007-01-25T17:17:56Z</dcterms:created>
  <dcterms:modified xsi:type="dcterms:W3CDTF">2024-07-02T17:00:25Z</dcterms:modified>
</cp:coreProperties>
</file>