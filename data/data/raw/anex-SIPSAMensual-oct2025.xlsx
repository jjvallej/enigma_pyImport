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ebhernandezg_dane_gov_co/Documents/VARIOS/MENSUAL/Octubre 25/"/>
    </mc:Choice>
  </mc:AlternateContent>
  <xr:revisionPtr revIDLastSave="16" documentId="13_ncr:1_{70C3E1D8-C4E8-44BC-BC96-73DDB3469EF4}" xr6:coauthVersionLast="47" xr6:coauthVersionMax="47" xr10:uidLastSave="{D79A912B-643B-4B0E-9157-CE68D8BBB534}"/>
  <bookViews>
    <workbookView xWindow="-110" yWindow="-110" windowWidth="19420" windowHeight="10300" tabRatio="815" xr2:uid="{00000000-000D-0000-FFFF-FFFF00000000}"/>
  </bookViews>
  <sheets>
    <sheet name="Índice" sheetId="519" r:id="rId1"/>
    <sheet name="1" sheetId="520" r:id="rId2"/>
    <sheet name="2" sheetId="521" r:id="rId3"/>
    <sheet name="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522" l="1"/>
  <c r="B12" i="519" s="1"/>
  <c r="A7" i="521"/>
  <c r="B11" i="519" s="1"/>
  <c r="A7" i="520"/>
  <c r="B10" i="519" s="1"/>
  <c r="A83" i="520"/>
  <c r="A54" i="521"/>
  <c r="A54" i="522"/>
</calcChain>
</file>

<file path=xl/sharedStrings.xml><?xml version="1.0" encoding="utf-8"?>
<sst xmlns="http://schemas.openxmlformats.org/spreadsheetml/2006/main" count="332" uniqueCount="100">
  <si>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</si>
  <si>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</si>
  <si>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</si>
  <si>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</si>
  <si>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</si>
  <si>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</si>
  <si>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</si>
  <si>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</si>
  <si>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</si>
  <si>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</si>
  <si>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</si>
  <si>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</si>
  <si>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</si>
  <si>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</si>
  <si>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</si>
  <si>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</si>
  <si>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</si>
  <si>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</si>
  <si>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</si>
  <si>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</si>
  <si>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</si>
  <si>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</si>
  <si>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</si>
  <si>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</si>
  <si>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</si>
  <si>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</si>
  <si>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</si>
  <si>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</si>
  <si>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</si>
  <si>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</si>
  <si>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</si>
  <si>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</si>
  <si>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</si>
  <si>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</si>
  <si>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</si>
  <si>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</si>
  <si>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</si>
  <si>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</si>
  <si>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</si>
  <si>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</si>
  <si>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</si>
  <si>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</si>
  <si>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</si>
  <si>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</si>
  <si>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</si>
  <si>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</si>
  <si>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</si>
  <si>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</si>
  <si>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</si>
  <si>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</si>
  <si>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</si>
  <si>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Manzana verde importada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</si>
  <si>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</si>
  <si>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</si>
  <si>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</si>
  <si>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</si>
  <si>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</si>
  <si>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Naranja*</t>
  </si>
  <si>
    <t>Fríjol verde*</t>
  </si>
  <si>
    <t>1.</t>
  </si>
  <si>
    <t>2.</t>
  </si>
  <si>
    <t>3.</t>
  </si>
  <si>
    <r>
      <rPr>
        <b/>
        <sz val="8"/>
        <rFont val="Segoe UI"/>
        <family val="2"/>
        <charset val="204"/>
      </rPr>
      <t>Fuente:</t>
    </r>
    <r>
      <rPr>
        <sz val="8"/>
        <rFont val="Segoe UI"/>
        <family val="2"/>
        <charset val="204"/>
      </rPr>
      <t xml:space="preserve"> DANE, SIPSA</t>
    </r>
  </si>
  <si>
    <t>Regresar al índice</t>
  </si>
  <si>
    <t>Naranja Valencia</t>
  </si>
  <si>
    <t>Papaya Maradol</t>
  </si>
  <si>
    <t>Octubre de 2025</t>
  </si>
  <si>
    <t>Fecha de actualización: 11 de noviembre de 2025</t>
  </si>
  <si>
    <t>-</t>
  </si>
  <si>
    <t>n.d.</t>
  </si>
  <si>
    <t>Repollo blanco</t>
  </si>
  <si>
    <t>Manzana royal gala importada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</si>
  <si>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</si>
  <si>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</si>
  <si>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</si>
  <si>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</si>
  <si>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</si>
  <si>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</si>
  <si>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</si>
  <si>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</si>
  <si>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</si>
  <si>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Huevo tipo A**</t>
  </si>
  <si>
    <t>Queso costeño</t>
  </si>
  <si>
    <t>Carne de cerdo, lomo sin hueso</t>
  </si>
  <si>
    <t>Carne de res, bola de pierna</t>
  </si>
  <si>
    <t>Pechuga de pollo</t>
  </si>
  <si>
    <t>Aceite vegetal mezcla**</t>
  </si>
  <si>
    <t>Azúcar sulfitada</t>
  </si>
  <si>
    <t>Café molido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</si>
  <si>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</si>
  <si>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</si>
  <si>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</si>
  <si>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</si>
  <si>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</si>
  <si>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</si>
  <si>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</si>
  <si>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</si>
  <si>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 yodada</t>
  </si>
  <si>
    <t>Salsa de tomate doy pack</t>
  </si>
  <si>
    <t>Sardinas en 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</si>
</sst>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6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11"/>
      <color rgb="FFC00000"/>
      <name val="Segoe UI"/>
      <family val="2"/>
    </font>
    <font>
      <sz val="8"/>
      <name val="Segoe UI"/>
      <family val="2"/>
      <charset val="204"/>
    </font>
    <font>
      <b/>
      <sz val="8"/>
      <name val="Segoe UI"/>
      <family val="2"/>
      <charset val="204"/>
    </font>
    <font>
      <b/>
      <u/>
      <sz val="10"/>
      <color theme="4" tint="-0.24997711111789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0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0" fontId="23" fillId="0" borderId="0" xfId="36" applyFont="1"/>
    <xf numFmtId="3" fontId="24" fillId="0" borderId="0" xfId="34" applyNumberFormat="1" applyFont="1" applyFill="1" applyBorder="1" applyAlignment="1">
      <alignment horizontal="right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4" fontId="24" fillId="33" borderId="0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0" fillId="31" borderId="0" xfId="36" applyFont="1" applyFill="1"/>
    <xf numFmtId="0" fontId="24" fillId="0" borderId="0" xfId="0" applyFont="1" applyAlignment="1">
      <alignment horizontal="right" vertical="center"/>
    </xf>
    <xf numFmtId="3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0" fontId="24" fillId="0" borderId="0" xfId="0" applyFont="1"/>
    <xf numFmtId="164" fontId="24" fillId="0" borderId="0" xfId="34" applyFont="1" applyFill="1" applyBorder="1" applyAlignment="1">
      <alignment horizontal="right"/>
    </xf>
    <xf numFmtId="0" fontId="28" fillId="31" borderId="2" xfId="0" applyFont="1" applyFill="1" applyBorder="1" applyAlignment="1">
      <alignment vertical="center"/>
    </xf>
    <xf numFmtId="0" fontId="28" fillId="31" borderId="15" xfId="0" applyFont="1" applyFill="1" applyBorder="1" applyAlignment="1">
      <alignment vertical="center"/>
    </xf>
    <xf numFmtId="0" fontId="28" fillId="31" borderId="3" xfId="0" applyFont="1" applyFill="1" applyBorder="1" applyAlignment="1">
      <alignment vertical="center"/>
    </xf>
    <xf numFmtId="0" fontId="28" fillId="31" borderId="11" xfId="0" applyFont="1" applyFill="1" applyBorder="1" applyAlignment="1">
      <alignment vertical="center"/>
    </xf>
    <xf numFmtId="0" fontId="32" fillId="31" borderId="10" xfId="0" applyFont="1" applyFill="1" applyBorder="1" applyAlignment="1">
      <alignment horizontal="right" vertical="center"/>
    </xf>
    <xf numFmtId="0" fontId="32" fillId="31" borderId="14" xfId="0" applyFont="1" applyFill="1" applyBorder="1" applyAlignment="1">
      <alignment horizontal="right" vertical="center"/>
    </xf>
    <xf numFmtId="0" fontId="32" fillId="31" borderId="9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vertical="center"/>
    </xf>
    <xf numFmtId="0" fontId="28" fillId="31" borderId="16" xfId="0" applyFont="1" applyFill="1" applyBorder="1" applyAlignment="1">
      <alignment vertical="center"/>
    </xf>
    <xf numFmtId="0" fontId="33" fillId="31" borderId="12" xfId="43" applyFont="1" applyFill="1" applyBorder="1" applyAlignment="1">
      <alignment horizontal="left" vertical="center"/>
    </xf>
    <xf numFmtId="0" fontId="2" fillId="31" borderId="3" xfId="31" quotePrefix="1" applyFill="1" applyBorder="1" applyAlignment="1" applyProtection="1">
      <alignment vertical="center"/>
    </xf>
    <xf numFmtId="0" fontId="2" fillId="31" borderId="1" xfId="31" quotePrefix="1" applyFill="1" applyBorder="1" applyAlignment="1" applyProtection="1">
      <alignment vertical="center"/>
    </xf>
    <xf numFmtId="0" fontId="2" fillId="31" borderId="2" xfId="31" quotePrefix="1" applyFill="1" applyBorder="1" applyAlignment="1" applyProtection="1">
      <alignment vertical="center"/>
    </xf>
    <xf numFmtId="0" fontId="35" fillId="0" borderId="0" xfId="31" applyFont="1" applyAlignment="1" applyProtection="1"/>
    <xf numFmtId="4" fontId="31" fillId="0" borderId="0" xfId="33" applyNumberFormat="1" applyFont="1" applyFill="1" applyBorder="1" applyAlignment="1">
      <alignment horizontal="right" vertical="center"/>
    </xf>
    <xf numFmtId="0" fontId="24" fillId="33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/>
    </xf>
    <xf numFmtId="2" fontId="24" fillId="33" borderId="0" xfId="34" applyNumberFormat="1" applyFont="1" applyFill="1" applyBorder="1" applyAlignment="1">
      <alignment horizontal="right"/>
    </xf>
    <xf numFmtId="0" fontId="24" fillId="33" borderId="0" xfId="0" applyFont="1" applyFill="1" applyAlignment="1">
      <alignment horizontal="right"/>
    </xf>
    <xf numFmtId="2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2" fontId="24" fillId="33" borderId="0" xfId="0" applyNumberFormat="1" applyFont="1" applyFill="1" applyAlignment="1">
      <alignment horizontal="right"/>
    </xf>
    <xf numFmtId="167" fontId="24" fillId="33" borderId="0" xfId="33" applyNumberFormat="1" applyFont="1" applyFill="1" applyAlignment="1">
      <alignment horizontal="center"/>
    </xf>
    <xf numFmtId="167" fontId="24" fillId="33" borderId="0" xfId="33" applyNumberFormat="1" applyFont="1" applyFill="1" applyAlignment="1">
      <alignment horizontal="right"/>
    </xf>
    <xf numFmtId="164" fontId="24" fillId="0" borderId="0" xfId="34" applyFont="1" applyFill="1" applyAlignment="1">
      <alignment horizontal="right"/>
    </xf>
    <xf numFmtId="2" fontId="24" fillId="0" borderId="0" xfId="34" applyNumberFormat="1" applyFont="1" applyFill="1" applyAlignment="1">
      <alignment horizontal="right"/>
    </xf>
    <xf numFmtId="0" fontId="23" fillId="0" borderId="2" xfId="0" applyFont="1" applyBorder="1"/>
    <xf numFmtId="3" fontId="24" fillId="0" borderId="2" xfId="0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/>
    </xf>
    <xf numFmtId="2" fontId="24" fillId="0" borderId="2" xfId="0" applyNumberFormat="1" applyFont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4" fontId="31" fillId="33" borderId="0" xfId="33" applyNumberFormat="1" applyFont="1" applyFill="1" applyBorder="1" applyAlignment="1">
      <alignment horizontal="right" vertical="center"/>
    </xf>
    <xf numFmtId="2" fontId="24" fillId="0" borderId="2" xfId="34" applyNumberFormat="1" applyFont="1" applyFill="1" applyBorder="1" applyAlignment="1">
      <alignment horizontal="center" vertical="center"/>
    </xf>
    <xf numFmtId="3" fontId="24" fillId="33" borderId="0" xfId="0" applyNumberFormat="1" applyFont="1" applyFill="1"/>
    <xf numFmtId="4" fontId="24" fillId="33" borderId="0" xfId="0" applyNumberFormat="1" applyFont="1" applyFill="1" applyAlignment="1">
      <alignment vertical="center"/>
    </xf>
    <xf numFmtId="0" fontId="24" fillId="33" borderId="0" xfId="0" applyFont="1" applyFill="1" applyAlignment="1">
      <alignment horizontal="right" vertical="center"/>
    </xf>
    <xf numFmtId="167" fontId="24" fillId="33" borderId="0" xfId="33" applyNumberFormat="1" applyFont="1" applyFill="1" applyAlignment="1"/>
    <xf numFmtId="167" fontId="24" fillId="0" borderId="2" xfId="33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 vertical="center"/>
    </xf>
    <xf numFmtId="3" fontId="24" fillId="0" borderId="2" xfId="0" applyNumberFormat="1" applyFont="1" applyBorder="1"/>
    <xf numFmtId="0" fontId="23" fillId="33" borderId="2" xfId="36" applyFont="1" applyFill="1" applyBorder="1"/>
    <xf numFmtId="3" fontId="24" fillId="33" borderId="2" xfId="34" applyNumberFormat="1" applyFont="1" applyFill="1" applyBorder="1" applyAlignment="1">
      <alignment horizontal="right"/>
    </xf>
    <xf numFmtId="167" fontId="24" fillId="0" borderId="0" xfId="33" applyNumberFormat="1" applyFont="1" applyBorder="1" applyAlignment="1">
      <alignment horizontal="right"/>
    </xf>
    <xf numFmtId="3" fontId="24" fillId="0" borderId="0" xfId="0" applyNumberFormat="1" applyFont="1"/>
    <xf numFmtId="4" fontId="24" fillId="0" borderId="0" xfId="0" applyNumberFormat="1" applyFont="1" applyAlignment="1">
      <alignment vertical="center"/>
    </xf>
    <xf numFmtId="4" fontId="31" fillId="33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 applyProtection="1">
      <alignment horizontal="right" vertical="center"/>
    </xf>
    <xf numFmtId="4" fontId="31" fillId="33" borderId="0" xfId="33" applyNumberFormat="1" applyFont="1" applyFill="1" applyBorder="1" applyAlignment="1">
      <alignment horizontal="right" vertical="justify"/>
    </xf>
    <xf numFmtId="4" fontId="31" fillId="0" borderId="0" xfId="33" applyNumberFormat="1" applyFont="1" applyFill="1" applyBorder="1" applyAlignment="1" applyProtection="1">
      <alignment horizontal="right" vertical="center"/>
    </xf>
    <xf numFmtId="4" fontId="31" fillId="0" borderId="0" xfId="33" applyNumberFormat="1" applyFont="1" applyFill="1" applyBorder="1" applyAlignment="1" applyProtection="1">
      <alignment horizontal="right" vertical="justify"/>
    </xf>
    <xf numFmtId="4" fontId="31" fillId="0" borderId="2" xfId="33" applyNumberFormat="1" applyFont="1" applyFill="1" applyBorder="1" applyAlignment="1">
      <alignment horizontal="right" vertical="center"/>
    </xf>
    <xf numFmtId="4" fontId="31" fillId="0" borderId="2" xfId="33" applyNumberFormat="1" applyFont="1" applyFill="1" applyBorder="1" applyAlignment="1">
      <alignment horizontal="right"/>
    </xf>
    <xf numFmtId="4" fontId="31" fillId="0" borderId="2" xfId="33" applyNumberFormat="1" applyFont="1" applyFill="1" applyBorder="1" applyAlignment="1">
      <alignment horizontal="right" vertical="justify"/>
    </xf>
    <xf numFmtId="4" fontId="31" fillId="0" borderId="0" xfId="33" applyNumberFormat="1" applyFont="1" applyFill="1" applyBorder="1" applyAlignment="1" applyProtection="1">
      <alignment horizontal="right"/>
    </xf>
    <xf numFmtId="167" fontId="31" fillId="33" borderId="0" xfId="33" applyNumberFormat="1" applyFont="1" applyFill="1" applyBorder="1" applyAlignment="1">
      <alignment horizontal="right" vertical="center"/>
    </xf>
    <xf numFmtId="4" fontId="31" fillId="33" borderId="2" xfId="33" applyNumberFormat="1" applyFont="1" applyFill="1" applyBorder="1" applyAlignment="1">
      <alignment horizontal="right"/>
    </xf>
    <xf numFmtId="4" fontId="31" fillId="33" borderId="2" xfId="33" applyNumberFormat="1" applyFont="1" applyFill="1" applyBorder="1" applyAlignment="1">
      <alignment horizontal="right" vertical="center"/>
    </xf>
    <xf numFmtId="0" fontId="27" fillId="32" borderId="10" xfId="0" applyFont="1" applyFill="1" applyBorder="1" applyAlignment="1">
      <alignment horizontal="center" vertical="center" wrapText="1"/>
    </xf>
    <xf numFmtId="0" fontId="27" fillId="32" borderId="3" xfId="0" applyFont="1" applyFill="1" applyBorder="1" applyAlignment="1">
      <alignment horizontal="center" vertical="center" wrapText="1"/>
    </xf>
    <xf numFmtId="0" fontId="27" fillId="32" borderId="11" xfId="0" applyFont="1" applyFill="1" applyBorder="1" applyAlignment="1">
      <alignment horizontal="center" vertical="center" wrapText="1"/>
    </xf>
    <xf numFmtId="0" fontId="27" fillId="32" borderId="12" xfId="0" applyFont="1" applyFill="1" applyBorder="1" applyAlignment="1">
      <alignment horizontal="center" vertical="center" wrapText="1"/>
    </xf>
    <xf numFmtId="0" fontId="27" fillId="32" borderId="0" xfId="0" applyFont="1" applyFill="1" applyAlignment="1">
      <alignment horizontal="center" vertical="center" wrapText="1"/>
    </xf>
    <xf numFmtId="0" fontId="27" fillId="32" borderId="13" xfId="0" applyFont="1" applyFill="1" applyBorder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10" xfId="0" applyFont="1" applyFill="1" applyBorder="1" applyAlignment="1">
      <alignment horizontal="center" vertical="center" wrapText="1"/>
    </xf>
    <xf numFmtId="0" fontId="26" fillId="34" borderId="3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0" xfId="0" applyFont="1" applyFill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  <xf numFmtId="4" fontId="24" fillId="33" borderId="0" xfId="34" applyNumberFormat="1" applyFont="1" applyFill="1" applyBorder="1" applyAlignment="1">
      <alignment horizontal="right" vertical="center"/>
    </xf>
    <xf numFmtId="2" fontId="24" fillId="33" borderId="0" xfId="34" applyNumberFormat="1" applyFont="1" applyFill="1" applyBorder="1" applyAlignment="1">
      <alignment horizontal="center" vertical="center"/>
    </xf>
    <xf numFmtId="0" fontId="24" fillId="33" borderId="0" xfId="34" applyNumberFormat="1" applyFont="1" applyFill="1" applyBorder="1" applyAlignment="1">
      <alignment horizontal="right" vertical="center"/>
    </xf>
    <xf numFmtId="2" fontId="24" fillId="0" borderId="0" xfId="34" applyNumberFormat="1" applyFont="1" applyFill="1" applyBorder="1" applyAlignment="1">
      <alignment horizontal="center" vertical="center"/>
    </xf>
    <xf numFmtId="2" fontId="24" fillId="33" borderId="0" xfId="34" applyNumberFormat="1" applyFont="1" applyFill="1" applyBorder="1" applyAlignment="1">
      <alignment horizontal="right" vertical="center"/>
    </xf>
    <xf numFmtId="3" fontId="24" fillId="33" borderId="0" xfId="34" applyNumberFormat="1" applyFont="1" applyFill="1" applyBorder="1" applyAlignment="1">
      <alignment horizontal="center" vertical="center"/>
    </xf>
    <xf numFmtId="4" fontId="24" fillId="33" borderId="2" xfId="34" applyNumberFormat="1" applyFont="1" applyFill="1" applyBorder="1" applyAlignment="1">
      <alignment horizontal="right" vertical="center"/>
    </xf>
    <xf numFmtId="3" fontId="24" fillId="0" borderId="0" xfId="34" applyNumberFormat="1" applyFont="1" applyFill="1" applyBorder="1" applyAlignment="1">
      <alignment horizontal="center" vertical="center"/>
    </xf>
    <xf numFmtId="2" fontId="24" fillId="0" borderId="0" xfId="34" applyNumberFormat="1" applyFont="1" applyFill="1" applyBorder="1" applyAlignment="1">
      <alignment horizontal="right" vertical="center"/>
    </xf>
    <xf numFmtId="2" fontId="24" fillId="33" borderId="0" xfId="33" applyNumberFormat="1" applyFont="1" applyFill="1" applyBorder="1" applyAlignment="1">
      <alignment horizontal="center" vertical="center"/>
    </xf>
    <xf numFmtId="0" fontId="24" fillId="0" borderId="2" xfId="34" applyNumberFormat="1" applyFont="1" applyFill="1" applyBorder="1" applyAlignment="1">
      <alignment horizontal="right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2" xfId="34" applyNumberFormat="1" applyFont="1" applyFill="1" applyBorder="1" applyAlignment="1">
      <alignment horizontal="center" vertical="center"/>
    </xf>
    <xf numFmtId="2" fontId="24" fillId="0" borderId="2" xfId="34" applyNumberFormat="1" applyFont="1" applyFill="1" applyBorder="1" applyAlignment="1">
      <alignment horizontal="right" vertical="center"/>
    </xf>
    <xf numFmtId="2" fontId="24" fillId="33" borderId="0" xfId="0" applyNumberFormat="1" applyFont="1" applyFill="1" applyAlignment="1">
      <alignment horizontal="center" vertical="center"/>
    </xf>
    <xf numFmtId="4" fontId="24" fillId="33" borderId="0" xfId="0" applyNumberFormat="1" applyFont="1" applyFill="1" applyAlignment="1">
      <alignment horizontal="right" vertical="center"/>
    </xf>
    <xf numFmtId="2" fontId="24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right" vertical="center"/>
    </xf>
    <xf numFmtId="3" fontId="24" fillId="33" borderId="0" xfId="0" applyNumberFormat="1" applyFont="1" applyFill="1" applyAlignment="1">
      <alignment horizontal="center" vertical="center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18143</xdr:rowOff>
    </xdr:from>
    <xdr:to>
      <xdr:col>11</xdr:col>
      <xdr:colOff>760286</xdr:colOff>
      <xdr:row>3</xdr:row>
      <xdr:rowOff>181031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A8ADD37F-0ED7-D563-AA29-869069BA32DF}"/>
            </a:ext>
          </a:extLst>
        </xdr:cNvPr>
        <xdr:cNvGrpSpPr/>
      </xdr:nvGrpSpPr>
      <xdr:grpSpPr>
        <a:xfrm>
          <a:off x="0" y="18143"/>
          <a:ext cx="9178572" cy="1006531"/>
          <a:chOff x="0" y="18143"/>
          <a:chExt cx="9178572" cy="1006531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30080E15-C83E-742B-6534-C8A225AF66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0" y="974564"/>
            <a:ext cx="9178572" cy="501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" name="Imagen 1">
            <a:extLst>
              <a:ext uri="{FF2B5EF4-FFF2-40B4-BE49-F238E27FC236}">
                <a16:creationId xmlns:a16="http://schemas.microsoft.com/office/drawing/2014/main" id="{A23DC10D-307D-438F-AE9A-A10E4F6C71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18143"/>
            <a:ext cx="2414225" cy="85961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89644</xdr:colOff>
      <xdr:row>2</xdr:row>
      <xdr:rowOff>345971</xdr:rowOff>
    </xdr:from>
    <xdr:to>
      <xdr:col>16</xdr:col>
      <xdr:colOff>440115</xdr:colOff>
      <xdr:row>2</xdr:row>
      <xdr:rowOff>396081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CD11CFED-4138-4BB7-4FEF-1BAE9EDD9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89644" y="951089"/>
          <a:ext cx="9360000" cy="50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37353</xdr:rowOff>
    </xdr:from>
    <xdr:to>
      <xdr:col>2</xdr:col>
      <xdr:colOff>202931</xdr:colOff>
      <xdr:row>2</xdr:row>
      <xdr:rowOff>291846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522A49-0263-4509-9436-487937300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353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27611</xdr:colOff>
      <xdr:row>2</xdr:row>
      <xdr:rowOff>147964</xdr:rowOff>
    </xdr:from>
    <xdr:to>
      <xdr:col>9</xdr:col>
      <xdr:colOff>9567</xdr:colOff>
      <xdr:row>2</xdr:row>
      <xdr:rowOff>189565</xdr:rowOff>
    </xdr:to>
    <xdr:pic>
      <xdr:nvPicPr>
        <xdr:cNvPr id="6" name="Imagen 12">
          <a:extLst>
            <a:ext uri="{FF2B5EF4-FFF2-40B4-BE49-F238E27FC236}">
              <a16:creationId xmlns:a16="http://schemas.microsoft.com/office/drawing/2014/main" id="{A234E613-67D1-4316-8DBA-CBD8EDBDF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27611" y="797905"/>
          <a:ext cx="7736427" cy="41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703460</xdr:colOff>
      <xdr:row>2</xdr:row>
      <xdr:rowOff>209670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F63E79-B5CE-45CA-B907-6D154FEAC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2</xdr:row>
      <xdr:rowOff>146503</xdr:rowOff>
    </xdr:from>
    <xdr:to>
      <xdr:col>9</xdr:col>
      <xdr:colOff>6528</xdr:colOff>
      <xdr:row>2</xdr:row>
      <xdr:rowOff>187911</xdr:rowOff>
    </xdr:to>
    <xdr:pic>
      <xdr:nvPicPr>
        <xdr:cNvPr id="7" name="Imagen 12">
          <a:extLst>
            <a:ext uri="{FF2B5EF4-FFF2-40B4-BE49-F238E27FC236}">
              <a16:creationId xmlns:a16="http://schemas.microsoft.com/office/drawing/2014/main" id="{9381C516-CEC9-0720-1547-FD5C30DDB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25400" y="800553"/>
          <a:ext cx="7734478" cy="4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706075</xdr:colOff>
      <xdr:row>2</xdr:row>
      <xdr:rowOff>205561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697641-1CD5-4E87-8500-DE2E55BA5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tabSelected="1" zoomScale="70" zoomScaleNormal="70" workbookViewId="0">
      <selection activeCell="A7" sqref="A7:L9"/>
    </sheetView>
  </sheetViews>
  <sheetFormatPr baseColWidth="10" defaultColWidth="11.453125" defaultRowHeight="16" x14ac:dyDescent="0.45"/>
  <cols>
    <col min="1" max="1" width="3.6328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2" spans="1:14" ht="22" customHeight="1" x14ac:dyDescent="0.45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</row>
    <row r="3" spans="1:14" ht="22" customHeight="1" x14ac:dyDescent="0.4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N3" s="4"/>
    </row>
    <row r="4" spans="1:14" ht="22" customHeight="1" x14ac:dyDescent="0.45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</row>
    <row r="5" spans="1:14" ht="36" customHeight="1" x14ac:dyDescent="0.45">
      <c r="A5" s="147" t="s">
        <v>47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9"/>
    </row>
    <row r="6" spans="1:14" ht="31.5" customHeight="1" x14ac:dyDescent="0.45">
      <c r="A6" s="150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2"/>
    </row>
    <row r="7" spans="1:14" x14ac:dyDescent="0.45">
      <c r="A7" s="140" t="s">
        <v>66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2"/>
    </row>
    <row r="8" spans="1:14" ht="15" customHeight="1" x14ac:dyDescent="0.45">
      <c r="A8" s="143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5"/>
    </row>
    <row r="9" spans="1:14" x14ac:dyDescent="0.45">
      <c r="A9" s="143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5"/>
    </row>
    <row r="10" spans="1:14" s="10" customFormat="1" ht="31.5" customHeight="1" x14ac:dyDescent="0.25">
      <c r="A10" s="87" t="s">
        <v>59</v>
      </c>
      <c r="B10" s="93" t="str">
        <f>'1'!A6&amp;" "&amp;'1'!A7</f>
        <v>Comportamiento de los precios mayoristas de los principales alimentos en las principales ocho ciudades. Variación mensual. Octubre de 2025</v>
      </c>
      <c r="C10" s="85"/>
      <c r="D10" s="85"/>
      <c r="E10" s="85"/>
      <c r="F10" s="85"/>
      <c r="G10" s="85"/>
      <c r="H10" s="85"/>
      <c r="I10" s="85"/>
      <c r="J10" s="85"/>
      <c r="K10" s="85"/>
      <c r="L10" s="86"/>
    </row>
    <row r="11" spans="1:14" s="10" customFormat="1" ht="31.5" customHeight="1" x14ac:dyDescent="0.25">
      <c r="A11" s="89" t="s">
        <v>60</v>
      </c>
      <c r="B11" s="94" t="str">
        <f>'2'!A6&amp;" "&amp;'2'!A7</f>
        <v>Comportamiento de los precios mayoristas de los principales alimentos en las principales ocho ciudades. Variación año corrido. Octubre de 2025</v>
      </c>
      <c r="C11" s="90"/>
      <c r="D11" s="90"/>
      <c r="E11" s="90"/>
      <c r="F11" s="90"/>
      <c r="G11" s="90"/>
      <c r="H11" s="90"/>
      <c r="I11" s="90"/>
      <c r="J11" s="90"/>
      <c r="K11" s="90"/>
      <c r="L11" s="91"/>
    </row>
    <row r="12" spans="1:14" s="10" customFormat="1" ht="31.5" customHeight="1" x14ac:dyDescent="0.25">
      <c r="A12" s="88" t="s">
        <v>61</v>
      </c>
      <c r="B12" s="95" t="str">
        <f>'3'!A6&amp;" "&amp;'3'!A7</f>
        <v>Comportamiento de los precios mayoristas de los principales alimentos en las principales ocho ciudades. Variación anual. Octubre de 2025</v>
      </c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67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B11" location="'2'!A1" display="'2'!A1" xr:uid="{549AA18A-F416-4462-A600-6B2E456340C2}"/>
    <hyperlink ref="B12" location="'3'!A1" display="'3'!A1" xr:uid="{0B4092F7-A9A7-4AEB-82ED-D56014BF70B6}"/>
    <hyperlink ref="B10" location="'1'!A1" display="'1'!A1" xr:uid="{D574E648-D3CE-4B18-B9F5-A71884B6F08B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3"/>
  <sheetViews>
    <sheetView showGridLines="0" zoomScale="85" zoomScaleNormal="85" workbookViewId="0">
      <selection activeCell="A6" sqref="A6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9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9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9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9" s="1" customFormat="1" ht="18.75" customHeight="1" x14ac:dyDescent="0.4">
      <c r="A4" s="155" t="s">
        <v>0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</row>
    <row r="5" spans="1:19" s="1" customFormat="1" ht="24" customHeight="1" x14ac:dyDescent="0.4">
      <c r="A5" s="155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S5" s="96" t="s">
        <v>63</v>
      </c>
    </row>
    <row r="6" spans="1:19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9" ht="19.5" customHeight="1" x14ac:dyDescent="0.45">
      <c r="A7" s="2" t="str">
        <f>+"Variación mensual. "&amp;Índice!A7</f>
        <v>Variación mensual. Octubre de 2025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9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9" x14ac:dyDescent="0.45">
      <c r="A9" s="158" t="s">
        <v>1</v>
      </c>
      <c r="B9" s="157" t="s">
        <v>2</v>
      </c>
      <c r="C9" s="157"/>
      <c r="D9" s="157" t="s">
        <v>3</v>
      </c>
      <c r="E9" s="157"/>
      <c r="F9" s="157" t="s">
        <v>4</v>
      </c>
      <c r="G9" s="157"/>
      <c r="H9" s="156" t="s">
        <v>5</v>
      </c>
      <c r="I9" s="156"/>
      <c r="J9" s="157" t="s">
        <v>6</v>
      </c>
      <c r="K9" s="157"/>
      <c r="L9" s="157" t="s">
        <v>7</v>
      </c>
      <c r="M9" s="157"/>
      <c r="N9" s="157" t="s">
        <v>8</v>
      </c>
      <c r="O9" s="157"/>
      <c r="P9" s="157" t="s">
        <v>9</v>
      </c>
      <c r="Q9" s="157"/>
    </row>
    <row r="10" spans="1:19" x14ac:dyDescent="0.45">
      <c r="A10" s="159"/>
      <c r="B10" s="5" t="s">
        <v>10</v>
      </c>
      <c r="C10" s="19" t="s">
        <v>11</v>
      </c>
      <c r="D10" s="5" t="s">
        <v>10</v>
      </c>
      <c r="E10" s="19" t="s">
        <v>11</v>
      </c>
      <c r="F10" s="5" t="s">
        <v>10</v>
      </c>
      <c r="G10" s="19" t="s">
        <v>11</v>
      </c>
      <c r="H10" s="5" t="s">
        <v>10</v>
      </c>
      <c r="I10" s="19" t="s">
        <v>11</v>
      </c>
      <c r="J10" s="5" t="s">
        <v>10</v>
      </c>
      <c r="K10" s="19" t="s">
        <v>11</v>
      </c>
      <c r="L10" s="5" t="s">
        <v>10</v>
      </c>
      <c r="M10" s="19" t="s">
        <v>11</v>
      </c>
      <c r="N10" s="5" t="s">
        <v>10</v>
      </c>
      <c r="O10" s="19" t="s">
        <v>11</v>
      </c>
      <c r="P10" s="5" t="s">
        <v>10</v>
      </c>
      <c r="Q10" s="19" t="s">
        <v>11</v>
      </c>
    </row>
    <row r="11" spans="1:19" s="72" customFormat="1" ht="11.5" customHeight="1" x14ac:dyDescent="0.4">
      <c r="A11" s="78" t="s">
        <v>17</v>
      </c>
      <c r="B11" s="79"/>
      <c r="C11" s="80"/>
      <c r="D11" s="79"/>
      <c r="E11" s="80"/>
      <c r="F11" s="79"/>
      <c r="G11" s="80"/>
      <c r="H11" s="79"/>
      <c r="I11" s="80"/>
      <c r="J11" s="79"/>
      <c r="K11" s="80"/>
      <c r="L11" s="79"/>
      <c r="M11" s="80"/>
      <c r="N11" s="79"/>
      <c r="O11" s="80"/>
      <c r="P11" s="79"/>
      <c r="Q11" s="80"/>
    </row>
    <row r="12" spans="1:19" s="72" customFormat="1" ht="12" customHeight="1" x14ac:dyDescent="0.4">
      <c r="A12" s="22" t="s">
        <v>18</v>
      </c>
      <c r="B12" s="23">
        <v>1970</v>
      </c>
      <c r="C12" s="113">
        <v>-14.35</v>
      </c>
      <c r="D12" s="23">
        <v>2194</v>
      </c>
      <c r="E12" s="62">
        <v>-18.71</v>
      </c>
      <c r="F12" s="23">
        <v>1390</v>
      </c>
      <c r="G12" s="63">
        <v>1.91</v>
      </c>
      <c r="H12" s="23">
        <v>2264</v>
      </c>
      <c r="I12" s="113">
        <v>-1.65</v>
      </c>
      <c r="J12" s="23">
        <v>1489</v>
      </c>
      <c r="K12" s="62">
        <v>-4.9800000000000004</v>
      </c>
      <c r="L12" s="23">
        <v>1878</v>
      </c>
      <c r="M12" s="62">
        <v>-5.68</v>
      </c>
      <c r="N12" s="23">
        <v>1424</v>
      </c>
      <c r="O12" s="62">
        <v>-14.32</v>
      </c>
      <c r="P12" s="23">
        <v>1981</v>
      </c>
      <c r="Q12" s="62">
        <v>-5.98</v>
      </c>
    </row>
    <row r="13" spans="1:19" s="72" customFormat="1" ht="12" customHeight="1" x14ac:dyDescent="0.4">
      <c r="A13" s="20" t="s">
        <v>19</v>
      </c>
      <c r="B13" s="21">
        <v>7260</v>
      </c>
      <c r="C13" s="161">
        <v>-19.899999999999999</v>
      </c>
      <c r="D13" s="21">
        <v>4079</v>
      </c>
      <c r="E13" s="161">
        <v>-10.61</v>
      </c>
      <c r="F13" s="21">
        <v>3911</v>
      </c>
      <c r="G13" s="161">
        <v>-21.28</v>
      </c>
      <c r="H13" s="162" t="s">
        <v>69</v>
      </c>
      <c r="I13" s="163" t="s">
        <v>68</v>
      </c>
      <c r="J13" s="21">
        <v>3400</v>
      </c>
      <c r="K13" s="161">
        <v>-27.18</v>
      </c>
      <c r="L13" s="21">
        <v>6262</v>
      </c>
      <c r="M13" s="161">
        <v>-0.13</v>
      </c>
      <c r="N13" s="21">
        <v>3399</v>
      </c>
      <c r="O13" s="161">
        <v>-6.6</v>
      </c>
      <c r="P13" s="21">
        <v>4533</v>
      </c>
      <c r="Q13" s="161">
        <v>-11.69</v>
      </c>
    </row>
    <row r="14" spans="1:19" s="72" customFormat="1" ht="12" customHeight="1" x14ac:dyDescent="0.4">
      <c r="A14" s="22" t="s">
        <v>20</v>
      </c>
      <c r="B14" s="23">
        <v>2282</v>
      </c>
      <c r="C14" s="62">
        <v>-13.03</v>
      </c>
      <c r="D14" s="23">
        <v>1829</v>
      </c>
      <c r="E14" s="62">
        <v>-10.65</v>
      </c>
      <c r="F14" s="23">
        <v>1810</v>
      </c>
      <c r="G14" s="62">
        <v>-17.12</v>
      </c>
      <c r="H14" s="23">
        <v>2269</v>
      </c>
      <c r="I14" s="62">
        <v>-11.75</v>
      </c>
      <c r="J14" s="23">
        <v>1996</v>
      </c>
      <c r="K14" s="62">
        <v>-15.32</v>
      </c>
      <c r="L14" s="23">
        <v>1893</v>
      </c>
      <c r="M14" s="62">
        <v>-9.99</v>
      </c>
      <c r="N14" s="23">
        <v>2059</v>
      </c>
      <c r="O14" s="62">
        <v>-12.61</v>
      </c>
      <c r="P14" s="23">
        <v>2205</v>
      </c>
      <c r="Q14" s="62">
        <v>-7</v>
      </c>
    </row>
    <row r="15" spans="1:19" s="72" customFormat="1" ht="12" customHeight="1" x14ac:dyDescent="0.4">
      <c r="A15" s="20" t="s">
        <v>21</v>
      </c>
      <c r="B15" s="21">
        <v>3522</v>
      </c>
      <c r="C15" s="161">
        <v>-10.7</v>
      </c>
      <c r="D15" s="21">
        <v>3067</v>
      </c>
      <c r="E15" s="161">
        <v>-25.32</v>
      </c>
      <c r="F15" s="21">
        <v>2405</v>
      </c>
      <c r="G15" s="161">
        <v>-18.89</v>
      </c>
      <c r="H15" s="21">
        <v>3649</v>
      </c>
      <c r="I15" s="163">
        <v>-11.67</v>
      </c>
      <c r="J15" s="21">
        <v>2938</v>
      </c>
      <c r="K15" s="161">
        <v>-23.15</v>
      </c>
      <c r="L15" s="21">
        <v>2228</v>
      </c>
      <c r="M15" s="161">
        <v>-19.68</v>
      </c>
      <c r="N15" s="21">
        <v>2592</v>
      </c>
      <c r="O15" s="161">
        <v>-5.54</v>
      </c>
      <c r="P15" s="21">
        <v>2079</v>
      </c>
      <c r="Q15" s="161">
        <v>-19.260000000000002</v>
      </c>
    </row>
    <row r="16" spans="1:19" s="72" customFormat="1" ht="12" customHeight="1" x14ac:dyDescent="0.4">
      <c r="A16" s="22" t="s">
        <v>22</v>
      </c>
      <c r="B16" s="164" t="s">
        <v>69</v>
      </c>
      <c r="C16" s="113" t="s">
        <v>68</v>
      </c>
      <c r="D16" s="23">
        <v>3089</v>
      </c>
      <c r="E16" s="63">
        <v>96</v>
      </c>
      <c r="F16" s="23">
        <v>1625</v>
      </c>
      <c r="G16" s="63">
        <v>0.62</v>
      </c>
      <c r="H16" s="23">
        <v>1582</v>
      </c>
      <c r="I16" s="62">
        <v>-11.72</v>
      </c>
      <c r="J16" s="23">
        <v>1687</v>
      </c>
      <c r="K16" s="62">
        <v>-8.7100000000000009</v>
      </c>
      <c r="L16" s="23">
        <v>2042</v>
      </c>
      <c r="M16" s="63">
        <v>8.16</v>
      </c>
      <c r="N16" s="23">
        <v>1566</v>
      </c>
      <c r="O16" s="62">
        <v>-9.69</v>
      </c>
      <c r="P16" s="164" t="s">
        <v>69</v>
      </c>
      <c r="Q16" s="113" t="s">
        <v>68</v>
      </c>
    </row>
    <row r="17" spans="1:17" s="72" customFormat="1" ht="12" customHeight="1" x14ac:dyDescent="0.4">
      <c r="A17" s="20" t="s">
        <v>58</v>
      </c>
      <c r="B17" s="21">
        <v>6060</v>
      </c>
      <c r="C17" s="165">
        <v>-1.77</v>
      </c>
      <c r="D17" s="21">
        <v>5072</v>
      </c>
      <c r="E17" s="161">
        <v>-25.73</v>
      </c>
      <c r="F17" s="21">
        <v>5285</v>
      </c>
      <c r="G17" s="161">
        <v>-4.53</v>
      </c>
      <c r="H17" s="162" t="s">
        <v>69</v>
      </c>
      <c r="I17" s="161" t="s">
        <v>68</v>
      </c>
      <c r="J17" s="21">
        <v>5077</v>
      </c>
      <c r="K17" s="161">
        <v>-4.4400000000000004</v>
      </c>
      <c r="L17" s="21">
        <v>6087</v>
      </c>
      <c r="M17" s="61">
        <v>2.72</v>
      </c>
      <c r="N17" s="21">
        <v>4460</v>
      </c>
      <c r="O17" s="61">
        <v>5.34</v>
      </c>
      <c r="P17" s="21">
        <v>5750</v>
      </c>
      <c r="Q17" s="100">
        <v>5.39</v>
      </c>
    </row>
    <row r="18" spans="1:17" s="72" customFormat="1" ht="12" customHeight="1" x14ac:dyDescent="0.4">
      <c r="A18" s="22" t="s">
        <v>23</v>
      </c>
      <c r="B18" s="23">
        <v>4800</v>
      </c>
      <c r="C18" s="63">
        <v>23.78</v>
      </c>
      <c r="D18" s="23">
        <v>2668</v>
      </c>
      <c r="E18" s="62">
        <v>-26.82</v>
      </c>
      <c r="F18" s="23">
        <v>3589</v>
      </c>
      <c r="G18" s="63">
        <v>21</v>
      </c>
      <c r="H18" s="23">
        <v>5018</v>
      </c>
      <c r="I18" s="63">
        <v>10.46</v>
      </c>
      <c r="J18" s="23">
        <v>2240</v>
      </c>
      <c r="K18" s="62">
        <v>-30.95</v>
      </c>
      <c r="L18" s="23">
        <v>3869</v>
      </c>
      <c r="M18" s="63">
        <v>17.920000000000002</v>
      </c>
      <c r="N18" s="23">
        <v>2145</v>
      </c>
      <c r="O18" s="62">
        <v>-5.59</v>
      </c>
      <c r="P18" s="23">
        <v>2756</v>
      </c>
      <c r="Q18" s="62">
        <v>-31.31</v>
      </c>
    </row>
    <row r="19" spans="1:17" s="72" customFormat="1" ht="12" customHeight="1" x14ac:dyDescent="0.4">
      <c r="A19" s="20" t="s">
        <v>24</v>
      </c>
      <c r="B19" s="21">
        <v>2595</v>
      </c>
      <c r="C19" s="61">
        <v>14.47</v>
      </c>
      <c r="D19" s="21">
        <v>1187</v>
      </c>
      <c r="E19" s="161">
        <v>-60.45</v>
      </c>
      <c r="F19" s="21">
        <v>1282</v>
      </c>
      <c r="G19" s="161">
        <v>-1.91</v>
      </c>
      <c r="H19" s="21">
        <v>2005</v>
      </c>
      <c r="I19" s="161">
        <v>-17.559999999999999</v>
      </c>
      <c r="J19" s="21">
        <v>943</v>
      </c>
      <c r="K19" s="161">
        <v>-36.54</v>
      </c>
      <c r="L19" s="21">
        <v>1510</v>
      </c>
      <c r="M19" s="161">
        <v>-12.46</v>
      </c>
      <c r="N19" s="21">
        <v>893</v>
      </c>
      <c r="O19" s="161">
        <v>-37.46</v>
      </c>
      <c r="P19" s="21">
        <v>1735</v>
      </c>
      <c r="Q19" s="161">
        <v>-32.799999999999997</v>
      </c>
    </row>
    <row r="20" spans="1:17" s="72" customFormat="1" ht="12" customHeight="1" x14ac:dyDescent="0.4">
      <c r="A20" s="22" t="s">
        <v>25</v>
      </c>
      <c r="B20" s="23">
        <v>3337</v>
      </c>
      <c r="C20" s="63">
        <v>46.49</v>
      </c>
      <c r="D20" s="23">
        <v>4169</v>
      </c>
      <c r="E20" s="63">
        <v>19.559999999999999</v>
      </c>
      <c r="F20" s="23">
        <v>3091</v>
      </c>
      <c r="G20" s="63">
        <v>50.12</v>
      </c>
      <c r="H20" s="23">
        <v>3456</v>
      </c>
      <c r="I20" s="63">
        <v>25.49</v>
      </c>
      <c r="J20" s="23">
        <v>2386</v>
      </c>
      <c r="K20" s="62">
        <v>-0.17</v>
      </c>
      <c r="L20" s="23">
        <v>2754</v>
      </c>
      <c r="M20" s="63">
        <v>14.23</v>
      </c>
      <c r="N20" s="23">
        <v>3015</v>
      </c>
      <c r="O20" s="63">
        <v>17.36</v>
      </c>
      <c r="P20" s="23">
        <v>3104</v>
      </c>
      <c r="Q20" s="63">
        <v>8.99</v>
      </c>
    </row>
    <row r="21" spans="1:17" s="72" customFormat="1" ht="12" customHeight="1" x14ac:dyDescent="0.4">
      <c r="A21" s="20" t="s">
        <v>26</v>
      </c>
      <c r="B21" s="21">
        <v>3242</v>
      </c>
      <c r="C21" s="161">
        <v>-3.6</v>
      </c>
      <c r="D21" s="21">
        <v>4983</v>
      </c>
      <c r="E21" s="61">
        <v>4.25</v>
      </c>
      <c r="F21" s="21">
        <v>3796</v>
      </c>
      <c r="G21" s="61">
        <v>1.96</v>
      </c>
      <c r="H21" s="21">
        <v>4628</v>
      </c>
      <c r="I21" s="61">
        <v>1.4</v>
      </c>
      <c r="J21" s="21">
        <v>3669</v>
      </c>
      <c r="K21" s="61">
        <v>6.91</v>
      </c>
      <c r="L21" s="21">
        <v>3439</v>
      </c>
      <c r="M21" s="161">
        <v>-7.78</v>
      </c>
      <c r="N21" s="21">
        <v>2737</v>
      </c>
      <c r="O21" s="161">
        <v>-19</v>
      </c>
      <c r="P21" s="21">
        <v>3633</v>
      </c>
      <c r="Q21" s="161">
        <v>-11.8</v>
      </c>
    </row>
    <row r="22" spans="1:17" s="72" customFormat="1" ht="12" customHeight="1" x14ac:dyDescent="0.4">
      <c r="A22" s="22" t="s">
        <v>27</v>
      </c>
      <c r="B22" s="23">
        <v>2113</v>
      </c>
      <c r="C22" s="62">
        <v>-30.4</v>
      </c>
      <c r="D22" s="23">
        <v>1976</v>
      </c>
      <c r="E22" s="62">
        <v>-30.59</v>
      </c>
      <c r="F22" s="23">
        <v>1782</v>
      </c>
      <c r="G22" s="62">
        <v>-30.28</v>
      </c>
      <c r="H22" s="23">
        <v>2502</v>
      </c>
      <c r="I22" s="62">
        <v>-23.53</v>
      </c>
      <c r="J22" s="23">
        <v>2341</v>
      </c>
      <c r="K22" s="62">
        <v>-29.66</v>
      </c>
      <c r="L22" s="23">
        <v>1739</v>
      </c>
      <c r="M22" s="62">
        <v>-47.11</v>
      </c>
      <c r="N22" s="23">
        <v>2727</v>
      </c>
      <c r="O22" s="62">
        <v>-3.81</v>
      </c>
      <c r="P22" s="23">
        <v>2889</v>
      </c>
      <c r="Q22" s="62">
        <v>-27.1</v>
      </c>
    </row>
    <row r="23" spans="1:17" s="72" customFormat="1" ht="12" customHeight="1" x14ac:dyDescent="0.4">
      <c r="A23" s="20" t="s">
        <v>70</v>
      </c>
      <c r="B23" s="21">
        <v>1953</v>
      </c>
      <c r="C23" s="161">
        <v>-20.8</v>
      </c>
      <c r="D23" s="166" t="s">
        <v>69</v>
      </c>
      <c r="E23" s="161" t="s">
        <v>68</v>
      </c>
      <c r="F23" s="21">
        <v>1112</v>
      </c>
      <c r="G23" s="161">
        <v>-27.46</v>
      </c>
      <c r="H23" s="21">
        <v>2278</v>
      </c>
      <c r="I23" s="161">
        <v>-10.7</v>
      </c>
      <c r="J23" s="21">
        <v>2341</v>
      </c>
      <c r="K23" s="161">
        <v>-29.66</v>
      </c>
      <c r="L23" s="21">
        <v>1739</v>
      </c>
      <c r="M23" s="161">
        <v>-47.11</v>
      </c>
      <c r="N23" s="21">
        <v>519</v>
      </c>
      <c r="O23" s="161">
        <v>-27.41</v>
      </c>
      <c r="P23" s="21">
        <v>1250</v>
      </c>
      <c r="Q23" s="161">
        <v>-20.48</v>
      </c>
    </row>
    <row r="24" spans="1:17" s="72" customFormat="1" ht="12" customHeight="1" x14ac:dyDescent="0.4">
      <c r="A24" s="22" t="s">
        <v>28</v>
      </c>
      <c r="B24" s="23">
        <v>2319</v>
      </c>
      <c r="C24" s="62">
        <v>-3.01</v>
      </c>
      <c r="D24" s="23">
        <v>2177</v>
      </c>
      <c r="E24" s="62">
        <v>-27.21</v>
      </c>
      <c r="F24" s="23">
        <v>1728</v>
      </c>
      <c r="G24" s="62">
        <v>-7.35</v>
      </c>
      <c r="H24" s="23">
        <v>2492</v>
      </c>
      <c r="I24" s="63">
        <v>7.14</v>
      </c>
      <c r="J24" s="23">
        <v>2363</v>
      </c>
      <c r="K24" s="62">
        <v>-20.6</v>
      </c>
      <c r="L24" s="23">
        <v>1866</v>
      </c>
      <c r="M24" s="62">
        <v>-11.94</v>
      </c>
      <c r="N24" s="23">
        <v>2071</v>
      </c>
      <c r="O24" s="62">
        <v>-3.04</v>
      </c>
      <c r="P24" s="23">
        <v>2759</v>
      </c>
      <c r="Q24" s="62">
        <v>-10.89</v>
      </c>
    </row>
    <row r="25" spans="1:17" s="81" customFormat="1" ht="11.5" x14ac:dyDescent="0.3">
      <c r="A25" s="123" t="s">
        <v>29</v>
      </c>
      <c r="B25" s="124">
        <v>2834</v>
      </c>
      <c r="C25" s="167">
        <v>-29.03</v>
      </c>
      <c r="D25" s="124">
        <v>2988</v>
      </c>
      <c r="E25" s="167">
        <v>-31.29</v>
      </c>
      <c r="F25" s="124">
        <v>2155</v>
      </c>
      <c r="G25" s="167">
        <v>-39.82</v>
      </c>
      <c r="H25" s="124">
        <v>3087</v>
      </c>
      <c r="I25" s="167">
        <v>-29.97</v>
      </c>
      <c r="J25" s="124">
        <v>3333</v>
      </c>
      <c r="K25" s="167">
        <v>-25.9</v>
      </c>
      <c r="L25" s="124">
        <v>2298</v>
      </c>
      <c r="M25" s="167">
        <v>-40.6</v>
      </c>
      <c r="N25" s="124">
        <v>2036</v>
      </c>
      <c r="O25" s="167">
        <v>-20.72</v>
      </c>
      <c r="P25" s="124">
        <v>3361</v>
      </c>
      <c r="Q25" s="167">
        <v>-25.85</v>
      </c>
    </row>
    <row r="26" spans="1:17" s="72" customFormat="1" ht="12" customHeight="1" x14ac:dyDescent="0.4">
      <c r="A26" s="78" t="s">
        <v>30</v>
      </c>
      <c r="B26" s="79"/>
      <c r="C26" s="80"/>
      <c r="D26" s="79"/>
      <c r="E26" s="80"/>
      <c r="F26" s="79"/>
      <c r="G26" s="80"/>
      <c r="H26" s="79"/>
      <c r="I26" s="80"/>
      <c r="J26" s="79"/>
      <c r="K26" s="80"/>
      <c r="L26" s="79"/>
      <c r="M26" s="80"/>
      <c r="N26" s="79"/>
      <c r="O26" s="80"/>
      <c r="P26" s="79"/>
      <c r="Q26" s="80"/>
    </row>
    <row r="27" spans="1:17" s="72" customFormat="1" ht="12" customHeight="1" x14ac:dyDescent="0.4">
      <c r="A27" s="22" t="s">
        <v>48</v>
      </c>
      <c r="B27" s="168" t="s">
        <v>69</v>
      </c>
      <c r="C27" s="113" t="s">
        <v>68</v>
      </c>
      <c r="D27" s="23">
        <v>8569</v>
      </c>
      <c r="E27" s="62">
        <v>-2.2000000000000002</v>
      </c>
      <c r="F27" s="23">
        <v>8941</v>
      </c>
      <c r="G27" s="99">
        <v>5.26</v>
      </c>
      <c r="H27" s="23">
        <v>9981</v>
      </c>
      <c r="I27" s="30">
        <v>3.08</v>
      </c>
      <c r="J27" s="23">
        <v>8917</v>
      </c>
      <c r="K27" s="63">
        <v>6.1</v>
      </c>
      <c r="L27" s="23">
        <v>7451</v>
      </c>
      <c r="M27" s="99">
        <v>1.61</v>
      </c>
      <c r="N27" s="23">
        <v>8774</v>
      </c>
      <c r="O27" s="63">
        <v>11.73</v>
      </c>
      <c r="P27" s="23">
        <v>9483</v>
      </c>
      <c r="Q27" s="63">
        <v>14.68</v>
      </c>
    </row>
    <row r="28" spans="1:17" s="72" customFormat="1" ht="12" customHeight="1" x14ac:dyDescent="0.4">
      <c r="A28" s="20" t="s">
        <v>31</v>
      </c>
      <c r="B28" s="21">
        <v>1410</v>
      </c>
      <c r="C28" s="161">
        <v>-0.84</v>
      </c>
      <c r="D28" s="21">
        <v>2405</v>
      </c>
      <c r="E28" s="61">
        <v>0.8</v>
      </c>
      <c r="F28" s="21">
        <v>2939</v>
      </c>
      <c r="G28" s="161">
        <v>-2.0299999999999998</v>
      </c>
      <c r="H28" s="162" t="s">
        <v>69</v>
      </c>
      <c r="I28" s="163" t="s">
        <v>68</v>
      </c>
      <c r="J28" s="21">
        <v>1923</v>
      </c>
      <c r="K28" s="161">
        <v>-15.47</v>
      </c>
      <c r="L28" s="21">
        <v>2612</v>
      </c>
      <c r="M28" s="161">
        <v>-2.68</v>
      </c>
      <c r="N28" s="21">
        <v>1897</v>
      </c>
      <c r="O28" s="61">
        <v>6.16</v>
      </c>
      <c r="P28" s="21">
        <v>1824</v>
      </c>
      <c r="Q28" s="161">
        <v>-6.37</v>
      </c>
    </row>
    <row r="29" spans="1:17" s="72" customFormat="1" ht="12" customHeight="1" x14ac:dyDescent="0.4">
      <c r="A29" s="22" t="s">
        <v>32</v>
      </c>
      <c r="B29" s="23">
        <v>6236</v>
      </c>
      <c r="C29" s="62">
        <v>-3.5</v>
      </c>
      <c r="D29" s="23">
        <v>6911</v>
      </c>
      <c r="E29" s="62">
        <v>-3.73</v>
      </c>
      <c r="F29" s="164" t="s">
        <v>69</v>
      </c>
      <c r="G29" s="113" t="s">
        <v>68</v>
      </c>
      <c r="H29" s="23">
        <v>5781</v>
      </c>
      <c r="I29" s="62">
        <v>-5.65</v>
      </c>
      <c r="J29" s="23">
        <v>5172</v>
      </c>
      <c r="K29" s="62">
        <v>-0.4</v>
      </c>
      <c r="L29" s="164" t="s">
        <v>69</v>
      </c>
      <c r="M29" s="113" t="s">
        <v>68</v>
      </c>
      <c r="N29" s="23">
        <v>9396</v>
      </c>
      <c r="O29" s="62">
        <v>-3.52</v>
      </c>
      <c r="P29" s="23">
        <v>5626</v>
      </c>
      <c r="Q29" s="62">
        <v>-0.55000000000000004</v>
      </c>
    </row>
    <row r="30" spans="1:17" s="72" customFormat="1" ht="12" customHeight="1" x14ac:dyDescent="0.4">
      <c r="A30" s="20" t="s">
        <v>33</v>
      </c>
      <c r="B30" s="162" t="s">
        <v>69</v>
      </c>
      <c r="C30" s="163" t="s">
        <v>68</v>
      </c>
      <c r="D30" s="21">
        <v>7284</v>
      </c>
      <c r="E30" s="161">
        <v>-16.39</v>
      </c>
      <c r="F30" s="21">
        <v>8328</v>
      </c>
      <c r="G30" s="161">
        <v>-4.09</v>
      </c>
      <c r="H30" s="162" t="s">
        <v>69</v>
      </c>
      <c r="I30" s="163" t="s">
        <v>68</v>
      </c>
      <c r="J30" s="21">
        <v>7370</v>
      </c>
      <c r="K30" s="163">
        <v>-0.34</v>
      </c>
      <c r="L30" s="21">
        <v>8319</v>
      </c>
      <c r="M30" s="161">
        <v>-4.8499999999999996</v>
      </c>
      <c r="N30" s="21">
        <v>4811</v>
      </c>
      <c r="O30" s="161">
        <v>-19.18</v>
      </c>
      <c r="P30" s="21">
        <v>6804</v>
      </c>
      <c r="Q30" s="161">
        <v>-20.51</v>
      </c>
    </row>
    <row r="31" spans="1:17" s="72" customFormat="1" ht="12" customHeight="1" x14ac:dyDescent="0.4">
      <c r="A31" s="22" t="s">
        <v>34</v>
      </c>
      <c r="B31" s="23">
        <v>3526</v>
      </c>
      <c r="C31" s="62">
        <v>-9.66</v>
      </c>
      <c r="D31" s="23">
        <v>3017</v>
      </c>
      <c r="E31" s="62">
        <v>-4.8899999999999997</v>
      </c>
      <c r="F31" s="23">
        <v>1314</v>
      </c>
      <c r="G31" s="62">
        <v>-13.21</v>
      </c>
      <c r="H31" s="23">
        <v>3486</v>
      </c>
      <c r="I31" s="62">
        <v>-2.02</v>
      </c>
      <c r="J31" s="23">
        <v>2265</v>
      </c>
      <c r="K31" s="63">
        <v>1.25</v>
      </c>
      <c r="L31" s="23">
        <v>2182</v>
      </c>
      <c r="M31" s="62">
        <v>-23.47</v>
      </c>
      <c r="N31" s="23">
        <v>2727</v>
      </c>
      <c r="O31" s="62">
        <v>-4.78</v>
      </c>
      <c r="P31" s="23">
        <v>2333</v>
      </c>
      <c r="Q31" s="62">
        <v>-5.01</v>
      </c>
    </row>
    <row r="32" spans="1:17" s="72" customFormat="1" ht="12" customHeight="1" x14ac:dyDescent="0.4">
      <c r="A32" s="20" t="s">
        <v>55</v>
      </c>
      <c r="B32" s="21">
        <v>2933</v>
      </c>
      <c r="C32" s="61">
        <v>4.04</v>
      </c>
      <c r="D32" s="21">
        <v>3196</v>
      </c>
      <c r="E32" s="161">
        <v>-4.82</v>
      </c>
      <c r="F32" s="21">
        <v>2314</v>
      </c>
      <c r="G32" s="161" t="s">
        <v>68</v>
      </c>
      <c r="H32" s="21">
        <v>4083</v>
      </c>
      <c r="I32" s="61">
        <v>16.82</v>
      </c>
      <c r="J32" s="21">
        <v>2851</v>
      </c>
      <c r="K32" s="161">
        <v>-19.71</v>
      </c>
      <c r="L32" s="21">
        <v>3498</v>
      </c>
      <c r="M32" s="61">
        <v>50.52</v>
      </c>
      <c r="N32" s="21">
        <v>3299</v>
      </c>
      <c r="O32" s="161">
        <v>-3.34</v>
      </c>
      <c r="P32" s="21">
        <v>3246</v>
      </c>
      <c r="Q32" s="161">
        <v>-5.67</v>
      </c>
    </row>
    <row r="33" spans="1:17" s="72" customFormat="1" ht="12" customHeight="1" x14ac:dyDescent="0.4">
      <c r="A33" s="22" t="s">
        <v>35</v>
      </c>
      <c r="B33" s="23">
        <v>5838</v>
      </c>
      <c r="C33" s="63">
        <v>11.28</v>
      </c>
      <c r="D33" s="23">
        <v>4634</v>
      </c>
      <c r="E33" s="63">
        <v>4.21</v>
      </c>
      <c r="F33" s="23">
        <v>5117</v>
      </c>
      <c r="G33" s="63">
        <v>14.45</v>
      </c>
      <c r="H33" s="23">
        <v>5780</v>
      </c>
      <c r="I33" s="63">
        <v>15.83</v>
      </c>
      <c r="J33" s="23">
        <v>4381</v>
      </c>
      <c r="K33" s="63">
        <v>17.829999999999998</v>
      </c>
      <c r="L33" s="23">
        <v>6123</v>
      </c>
      <c r="M33" s="63">
        <v>8.66</v>
      </c>
      <c r="N33" s="23">
        <v>4616</v>
      </c>
      <c r="O33" s="63">
        <v>14.65</v>
      </c>
      <c r="P33" s="23">
        <v>4185</v>
      </c>
      <c r="Q33" s="63">
        <v>9.07</v>
      </c>
    </row>
    <row r="34" spans="1:17" s="72" customFormat="1" ht="12" customHeight="1" x14ac:dyDescent="0.4">
      <c r="A34" s="20" t="s">
        <v>36</v>
      </c>
      <c r="B34" s="21">
        <v>3646</v>
      </c>
      <c r="C34" s="161">
        <v>-3.98</v>
      </c>
      <c r="D34" s="21">
        <v>4583</v>
      </c>
      <c r="E34" s="61">
        <v>7.25</v>
      </c>
      <c r="F34" s="21">
        <v>2589</v>
      </c>
      <c r="G34" s="161">
        <v>-16.43</v>
      </c>
      <c r="H34" s="21">
        <v>3772</v>
      </c>
      <c r="I34" s="100">
        <v>3.85</v>
      </c>
      <c r="J34" s="21">
        <v>3612</v>
      </c>
      <c r="K34" s="61">
        <v>6.27</v>
      </c>
      <c r="L34" s="21">
        <v>3696</v>
      </c>
      <c r="M34" s="161">
        <v>-2.69</v>
      </c>
      <c r="N34" s="21">
        <v>2862</v>
      </c>
      <c r="O34" s="161">
        <v>-16.559999999999999</v>
      </c>
      <c r="P34" s="21">
        <v>2885</v>
      </c>
      <c r="Q34" s="163">
        <v>-14.59</v>
      </c>
    </row>
    <row r="35" spans="1:17" s="72" customFormat="1" ht="12" customHeight="1" x14ac:dyDescent="0.4">
      <c r="A35" s="22" t="s">
        <v>37</v>
      </c>
      <c r="B35" s="23">
        <v>5579</v>
      </c>
      <c r="C35" s="62">
        <v>-23.06</v>
      </c>
      <c r="D35" s="23">
        <v>5005</v>
      </c>
      <c r="E35" s="169">
        <v>-45.84</v>
      </c>
      <c r="F35" s="23">
        <v>4395</v>
      </c>
      <c r="G35" s="62">
        <v>-34.51</v>
      </c>
      <c r="H35" s="168" t="s">
        <v>69</v>
      </c>
      <c r="I35" s="62" t="s">
        <v>68</v>
      </c>
      <c r="J35" s="23">
        <v>4426</v>
      </c>
      <c r="K35" s="62">
        <v>-38.729999999999997</v>
      </c>
      <c r="L35" s="23">
        <v>5281</v>
      </c>
      <c r="M35" s="62">
        <v>-15.03</v>
      </c>
      <c r="N35" s="23">
        <v>4067</v>
      </c>
      <c r="O35" s="62">
        <v>-39.729999999999997</v>
      </c>
      <c r="P35" s="23">
        <v>4393</v>
      </c>
      <c r="Q35" s="62">
        <v>-36.64</v>
      </c>
    </row>
    <row r="36" spans="1:17" s="72" customFormat="1" ht="12" customHeight="1" x14ac:dyDescent="0.4">
      <c r="A36" s="20" t="s">
        <v>71</v>
      </c>
      <c r="B36" s="170" t="s">
        <v>69</v>
      </c>
      <c r="C36" s="163" t="s">
        <v>68</v>
      </c>
      <c r="D36" s="21">
        <v>8266</v>
      </c>
      <c r="E36" s="61">
        <v>0.11</v>
      </c>
      <c r="F36" s="21">
        <v>7957</v>
      </c>
      <c r="G36" s="61">
        <v>1.47</v>
      </c>
      <c r="H36" s="166" t="s">
        <v>69</v>
      </c>
      <c r="I36" s="163" t="s">
        <v>68</v>
      </c>
      <c r="J36" s="21">
        <v>8036</v>
      </c>
      <c r="K36" s="161">
        <v>-3.62</v>
      </c>
      <c r="L36" s="21">
        <v>8461</v>
      </c>
      <c r="M36" s="61">
        <v>1.05</v>
      </c>
      <c r="N36" s="21">
        <v>7333</v>
      </c>
      <c r="O36" s="161">
        <v>-6.28</v>
      </c>
      <c r="P36" s="21">
        <v>8115</v>
      </c>
      <c r="Q36" s="161">
        <v>-6.34</v>
      </c>
    </row>
    <row r="37" spans="1:17" s="72" customFormat="1" ht="12" customHeight="1" x14ac:dyDescent="0.4">
      <c r="A37" s="22" t="s">
        <v>38</v>
      </c>
      <c r="B37" s="23">
        <v>5019</v>
      </c>
      <c r="C37" s="113">
        <v>-7.23</v>
      </c>
      <c r="D37" s="23">
        <v>5336</v>
      </c>
      <c r="E37" s="63">
        <v>2.85</v>
      </c>
      <c r="F37" s="23">
        <v>4777</v>
      </c>
      <c r="G37" s="63">
        <v>4.97</v>
      </c>
      <c r="H37" s="164" t="s">
        <v>69</v>
      </c>
      <c r="I37" s="113" t="s">
        <v>68</v>
      </c>
      <c r="J37" s="23">
        <v>4792</v>
      </c>
      <c r="K37" s="62">
        <v>-0.46</v>
      </c>
      <c r="L37" s="23">
        <v>5429</v>
      </c>
      <c r="M37" s="62">
        <v>-12.28</v>
      </c>
      <c r="N37" s="23">
        <v>3693</v>
      </c>
      <c r="O37" s="62">
        <v>-2.5099999999999998</v>
      </c>
      <c r="P37" s="23">
        <v>4296</v>
      </c>
      <c r="Q37" s="62">
        <v>-9.39</v>
      </c>
    </row>
    <row r="38" spans="1:17" s="72" customFormat="1" ht="12" customHeight="1" x14ac:dyDescent="0.4">
      <c r="A38" s="20" t="s">
        <v>39</v>
      </c>
      <c r="B38" s="21">
        <v>5254</v>
      </c>
      <c r="C38" s="61">
        <v>1.31</v>
      </c>
      <c r="D38" s="21">
        <v>4584</v>
      </c>
      <c r="E38" s="161">
        <v>-4.24</v>
      </c>
      <c r="F38" s="21">
        <v>3346</v>
      </c>
      <c r="G38" s="161">
        <v>-0.18</v>
      </c>
      <c r="H38" s="21">
        <v>4049</v>
      </c>
      <c r="I38" s="61">
        <v>2.82</v>
      </c>
      <c r="J38" s="21">
        <v>4579</v>
      </c>
      <c r="K38" s="61">
        <v>19.34</v>
      </c>
      <c r="L38" s="21">
        <v>2886</v>
      </c>
      <c r="M38" s="161">
        <v>-6.57</v>
      </c>
      <c r="N38" s="21">
        <v>3759</v>
      </c>
      <c r="O38" s="61">
        <v>17.07</v>
      </c>
      <c r="P38" s="21">
        <v>4844</v>
      </c>
      <c r="Q38" s="61">
        <v>7.64</v>
      </c>
    </row>
    <row r="39" spans="1:17" s="72" customFormat="1" ht="12" customHeight="1" x14ac:dyDescent="0.4">
      <c r="A39" s="22" t="s">
        <v>57</v>
      </c>
      <c r="B39" s="23">
        <v>1934</v>
      </c>
      <c r="C39" s="30">
        <v>9.14</v>
      </c>
      <c r="D39" s="23">
        <v>2133</v>
      </c>
      <c r="E39" s="63">
        <v>4.3</v>
      </c>
      <c r="F39" s="23">
        <v>1202</v>
      </c>
      <c r="G39" s="63">
        <v>3.53</v>
      </c>
      <c r="H39" s="23">
        <v>1800</v>
      </c>
      <c r="I39" s="63">
        <v>0.84</v>
      </c>
      <c r="J39" s="23">
        <v>1727</v>
      </c>
      <c r="K39" s="30">
        <v>3.41</v>
      </c>
      <c r="L39" s="23">
        <v>1770</v>
      </c>
      <c r="M39" s="169">
        <v>-2.8</v>
      </c>
      <c r="N39" s="23">
        <v>2348</v>
      </c>
      <c r="O39" s="63">
        <v>3.8</v>
      </c>
      <c r="P39" s="23">
        <v>1763</v>
      </c>
      <c r="Q39" s="62">
        <v>-3.61</v>
      </c>
    </row>
    <row r="40" spans="1:17" s="72" customFormat="1" ht="12" customHeight="1" x14ac:dyDescent="0.4">
      <c r="A40" s="20" t="s">
        <v>56</v>
      </c>
      <c r="B40" s="21">
        <v>2707</v>
      </c>
      <c r="C40" s="163">
        <v>-10.54</v>
      </c>
      <c r="D40" s="21">
        <v>3212</v>
      </c>
      <c r="E40" s="161">
        <v>-24.16</v>
      </c>
      <c r="F40" s="21">
        <v>2252</v>
      </c>
      <c r="G40" s="161">
        <v>-15.66</v>
      </c>
      <c r="H40" s="21">
        <v>2700</v>
      </c>
      <c r="I40" s="161">
        <v>-15.23</v>
      </c>
      <c r="J40" s="21">
        <v>3021</v>
      </c>
      <c r="K40" s="61">
        <v>2.41</v>
      </c>
      <c r="L40" s="21">
        <v>2994</v>
      </c>
      <c r="M40" s="161">
        <v>-4.8600000000000003</v>
      </c>
      <c r="N40" s="21">
        <v>4383</v>
      </c>
      <c r="O40" s="61">
        <v>3.99</v>
      </c>
      <c r="P40" s="21">
        <v>3222</v>
      </c>
      <c r="Q40" s="61">
        <v>4.4400000000000004</v>
      </c>
    </row>
    <row r="41" spans="1:17" s="72" customFormat="1" ht="12" customHeight="1" x14ac:dyDescent="0.4">
      <c r="A41" s="22" t="s">
        <v>40</v>
      </c>
      <c r="B41" s="23">
        <v>2981</v>
      </c>
      <c r="C41" s="63">
        <v>22.27</v>
      </c>
      <c r="D41" s="23">
        <v>2383</v>
      </c>
      <c r="E41" s="62">
        <v>-14.89</v>
      </c>
      <c r="F41" s="23">
        <v>2370</v>
      </c>
      <c r="G41" s="62">
        <v>-11.14</v>
      </c>
      <c r="H41" s="23">
        <v>2976</v>
      </c>
      <c r="I41" s="62">
        <v>-9.65</v>
      </c>
      <c r="J41" s="23">
        <v>2379</v>
      </c>
      <c r="K41" s="62">
        <v>-7.36</v>
      </c>
      <c r="L41" s="23">
        <v>2985</v>
      </c>
      <c r="M41" s="62">
        <v>-0.5</v>
      </c>
      <c r="N41" s="23">
        <v>2773</v>
      </c>
      <c r="O41" s="62">
        <v>-7.01</v>
      </c>
      <c r="P41" s="23">
        <v>3311</v>
      </c>
      <c r="Q41" s="62">
        <v>-3.61</v>
      </c>
    </row>
    <row r="42" spans="1:17" s="72" customFormat="1" ht="12" customHeight="1" x14ac:dyDescent="0.4">
      <c r="A42" s="20" t="s">
        <v>41</v>
      </c>
      <c r="B42" s="21">
        <v>2579</v>
      </c>
      <c r="C42" s="161">
        <v>-4.2</v>
      </c>
      <c r="D42" s="21">
        <v>3198</v>
      </c>
      <c r="E42" s="161">
        <v>-11.39</v>
      </c>
      <c r="F42" s="21">
        <v>2799</v>
      </c>
      <c r="G42" s="61">
        <v>1.19</v>
      </c>
      <c r="H42" s="21">
        <v>2976</v>
      </c>
      <c r="I42" s="161">
        <v>-5.0999999999999996</v>
      </c>
      <c r="J42" s="21">
        <v>2343</v>
      </c>
      <c r="K42" s="161">
        <v>-0.55000000000000004</v>
      </c>
      <c r="L42" s="21">
        <v>3946</v>
      </c>
      <c r="M42" s="161">
        <v>-15.45</v>
      </c>
      <c r="N42" s="21">
        <v>2075</v>
      </c>
      <c r="O42" s="161">
        <v>-4.51</v>
      </c>
      <c r="P42" s="21">
        <v>2541</v>
      </c>
      <c r="Q42" s="161">
        <v>-9.48</v>
      </c>
    </row>
    <row r="43" spans="1:17" s="72" customFormat="1" ht="12" customHeight="1" x14ac:dyDescent="0.4">
      <c r="A43" s="24" t="s">
        <v>72</v>
      </c>
      <c r="B43" s="115" t="s">
        <v>69</v>
      </c>
      <c r="C43" s="171" t="s">
        <v>68</v>
      </c>
      <c r="D43" s="25">
        <v>13282</v>
      </c>
      <c r="E43" s="64">
        <v>7.13</v>
      </c>
      <c r="F43" s="25">
        <v>13715</v>
      </c>
      <c r="G43" s="64">
        <v>10.52</v>
      </c>
      <c r="H43" s="25">
        <v>14881</v>
      </c>
      <c r="I43" s="172">
        <v>-0.42</v>
      </c>
      <c r="J43" s="25">
        <v>14097</v>
      </c>
      <c r="K43" s="64">
        <v>9.56</v>
      </c>
      <c r="L43" s="115" t="s">
        <v>69</v>
      </c>
      <c r="M43" s="171" t="s">
        <v>68</v>
      </c>
      <c r="N43" s="25">
        <v>14167</v>
      </c>
      <c r="O43" s="64">
        <v>12.35</v>
      </c>
      <c r="P43" s="25">
        <v>13159</v>
      </c>
      <c r="Q43" s="64">
        <v>6.24</v>
      </c>
    </row>
    <row r="44" spans="1:17" s="72" customFormat="1" ht="12" customHeight="1" x14ac:dyDescent="0.4">
      <c r="A44" s="78" t="s">
        <v>42</v>
      </c>
      <c r="B44" s="79"/>
      <c r="C44" s="80"/>
      <c r="D44" s="79"/>
      <c r="E44" s="80"/>
      <c r="F44" s="79"/>
      <c r="G44" s="80"/>
      <c r="H44" s="79"/>
      <c r="I44" s="80"/>
      <c r="J44" s="79"/>
      <c r="K44" s="80"/>
      <c r="L44" s="79"/>
      <c r="M44" s="80"/>
      <c r="N44" s="79"/>
      <c r="O44" s="80"/>
      <c r="P44" s="79"/>
      <c r="Q44" s="80"/>
    </row>
    <row r="45" spans="1:17" s="72" customFormat="1" ht="12" customHeight="1" x14ac:dyDescent="0.4">
      <c r="A45" s="22" t="s">
        <v>43</v>
      </c>
      <c r="B45" s="164" t="s">
        <v>69</v>
      </c>
      <c r="C45" s="113" t="s">
        <v>68</v>
      </c>
      <c r="D45" s="23">
        <v>2648</v>
      </c>
      <c r="E45" s="63">
        <v>62.75</v>
      </c>
      <c r="F45" s="23">
        <v>1433</v>
      </c>
      <c r="G45" s="63">
        <v>8.64</v>
      </c>
      <c r="H45" s="164" t="s">
        <v>69</v>
      </c>
      <c r="I45" s="113" t="s">
        <v>68</v>
      </c>
      <c r="J45" s="23">
        <v>2564</v>
      </c>
      <c r="K45" s="63">
        <v>80.95</v>
      </c>
      <c r="L45" s="23">
        <v>1448</v>
      </c>
      <c r="M45" s="62">
        <v>-3.98</v>
      </c>
      <c r="N45" s="23">
        <v>1571</v>
      </c>
      <c r="O45" s="63">
        <v>3.7</v>
      </c>
      <c r="P45" s="23">
        <v>2389</v>
      </c>
      <c r="Q45" s="63">
        <v>5.0999999999999996</v>
      </c>
    </row>
    <row r="46" spans="1:17" s="72" customFormat="1" ht="12" customHeight="1" x14ac:dyDescent="0.4">
      <c r="A46" s="20" t="s">
        <v>44</v>
      </c>
      <c r="B46" s="21">
        <v>757</v>
      </c>
      <c r="C46" s="161">
        <v>-8.4600000000000009</v>
      </c>
      <c r="D46" s="21">
        <v>809</v>
      </c>
      <c r="E46" s="161">
        <v>-0.98</v>
      </c>
      <c r="F46" s="21">
        <v>767</v>
      </c>
      <c r="G46" s="161">
        <v>-5.54</v>
      </c>
      <c r="H46" s="21">
        <v>628</v>
      </c>
      <c r="I46" s="161">
        <v>-13.74</v>
      </c>
      <c r="J46" s="21">
        <v>682</v>
      </c>
      <c r="K46" s="161">
        <v>-10.029999999999999</v>
      </c>
      <c r="L46" s="21">
        <v>570</v>
      </c>
      <c r="M46" s="98">
        <v>8.7799999999999994</v>
      </c>
      <c r="N46" s="21">
        <v>1082</v>
      </c>
      <c r="O46" s="161">
        <v>-7.52</v>
      </c>
      <c r="P46" s="21">
        <v>843</v>
      </c>
      <c r="Q46" s="161">
        <v>-3.21</v>
      </c>
    </row>
    <row r="47" spans="1:17" s="72" customFormat="1" ht="12" customHeight="1" x14ac:dyDescent="0.4">
      <c r="A47" s="22" t="s">
        <v>73</v>
      </c>
      <c r="B47" s="23">
        <v>5300</v>
      </c>
      <c r="C47" s="63">
        <v>2.04</v>
      </c>
      <c r="D47" s="23">
        <v>5510</v>
      </c>
      <c r="E47" s="62">
        <v>-1.62</v>
      </c>
      <c r="F47" s="23">
        <v>4539</v>
      </c>
      <c r="G47" s="63">
        <v>2.5299999999999998</v>
      </c>
      <c r="H47" s="23">
        <v>5604</v>
      </c>
      <c r="I47" s="62">
        <v>-2.79</v>
      </c>
      <c r="J47" s="23">
        <v>4423</v>
      </c>
      <c r="K47" s="63">
        <v>5.61</v>
      </c>
      <c r="L47" s="23">
        <v>4454</v>
      </c>
      <c r="M47" s="63">
        <v>14.71</v>
      </c>
      <c r="N47" s="23">
        <v>3946</v>
      </c>
      <c r="O47" s="62">
        <v>-9.1199999999999992</v>
      </c>
      <c r="P47" s="23">
        <v>5053</v>
      </c>
      <c r="Q47" s="62">
        <v>-0.04</v>
      </c>
    </row>
    <row r="48" spans="1:17" s="72" customFormat="1" ht="12" customHeight="1" x14ac:dyDescent="0.4">
      <c r="A48" s="20" t="s">
        <v>45</v>
      </c>
      <c r="B48" s="21">
        <v>1918</v>
      </c>
      <c r="C48" s="161">
        <v>-9.19</v>
      </c>
      <c r="D48" s="21">
        <v>3672</v>
      </c>
      <c r="E48" s="61">
        <v>2.4</v>
      </c>
      <c r="F48" s="21">
        <v>4463</v>
      </c>
      <c r="G48" s="161">
        <v>-0.47</v>
      </c>
      <c r="H48" s="21">
        <v>2352</v>
      </c>
      <c r="I48" s="161">
        <v>-7.04</v>
      </c>
      <c r="J48" s="21">
        <v>1871</v>
      </c>
      <c r="K48" s="61">
        <v>6.07</v>
      </c>
      <c r="L48" s="21">
        <v>4624</v>
      </c>
      <c r="M48" s="61">
        <v>11.72</v>
      </c>
      <c r="N48" s="21">
        <v>1991</v>
      </c>
      <c r="O48" s="61">
        <v>4.62</v>
      </c>
      <c r="P48" s="21">
        <v>1989</v>
      </c>
      <c r="Q48" s="61">
        <v>19.600000000000001</v>
      </c>
    </row>
    <row r="49" spans="1:25" s="72" customFormat="1" ht="12" customHeight="1" x14ac:dyDescent="0.4">
      <c r="A49" s="24" t="s">
        <v>46</v>
      </c>
      <c r="B49" s="25">
        <v>2317</v>
      </c>
      <c r="C49" s="64">
        <v>5.65</v>
      </c>
      <c r="D49" s="25">
        <v>3581</v>
      </c>
      <c r="E49" s="172">
        <v>-5.94</v>
      </c>
      <c r="F49" s="25">
        <v>3372</v>
      </c>
      <c r="G49" s="64">
        <v>2.93</v>
      </c>
      <c r="H49" s="25">
        <v>2210</v>
      </c>
      <c r="I49" s="64">
        <v>1.19</v>
      </c>
      <c r="J49" s="25">
        <v>2653</v>
      </c>
      <c r="K49" s="64">
        <v>1.49</v>
      </c>
      <c r="L49" s="25">
        <v>2827</v>
      </c>
      <c r="M49" s="64">
        <v>7.21</v>
      </c>
      <c r="N49" s="173" t="s">
        <v>69</v>
      </c>
      <c r="O49" s="174" t="s">
        <v>68</v>
      </c>
      <c r="P49" s="25">
        <v>2820</v>
      </c>
      <c r="Q49" s="64">
        <v>8.4600000000000009</v>
      </c>
    </row>
    <row r="50" spans="1:25" s="72" customFormat="1" ht="12" customHeight="1" x14ac:dyDescent="0.4">
      <c r="A50" s="78" t="s">
        <v>74</v>
      </c>
      <c r="B50" s="79"/>
      <c r="C50" s="80"/>
      <c r="D50" s="79"/>
      <c r="E50" s="80"/>
      <c r="F50" s="79"/>
      <c r="G50" s="80"/>
      <c r="H50" s="79"/>
      <c r="I50" s="80"/>
      <c r="J50" s="79"/>
      <c r="K50" s="80"/>
      <c r="L50" s="79"/>
      <c r="M50" s="80"/>
      <c r="N50" s="79"/>
      <c r="O50" s="80"/>
      <c r="P50" s="79"/>
      <c r="Q50" s="80"/>
    </row>
    <row r="51" spans="1:25" s="72" customFormat="1" ht="12" customHeight="1" x14ac:dyDescent="0.4">
      <c r="A51" s="15" t="s">
        <v>75</v>
      </c>
      <c r="B51" s="26">
        <v>3571</v>
      </c>
      <c r="C51" s="67">
        <v>-1.46</v>
      </c>
      <c r="D51" s="26">
        <v>3177</v>
      </c>
      <c r="E51" s="67">
        <v>-1.1499999999999999</v>
      </c>
      <c r="F51" s="26">
        <v>3990</v>
      </c>
      <c r="G51" s="67">
        <v>-0.75</v>
      </c>
      <c r="H51" s="26">
        <v>3702</v>
      </c>
      <c r="I51" s="67">
        <v>-3.92</v>
      </c>
      <c r="J51" s="26">
        <v>3648</v>
      </c>
      <c r="K51" s="67">
        <v>-1.57</v>
      </c>
      <c r="L51" s="26">
        <v>3787</v>
      </c>
      <c r="M51" s="67">
        <v>-0.05</v>
      </c>
      <c r="N51" s="26">
        <v>3630</v>
      </c>
      <c r="O51" s="67">
        <v>-3.38</v>
      </c>
      <c r="P51" s="26">
        <v>4002</v>
      </c>
      <c r="Q51" s="66">
        <v>0</v>
      </c>
    </row>
    <row r="52" spans="1:25" s="72" customFormat="1" ht="12" customHeight="1" x14ac:dyDescent="0.4">
      <c r="A52" s="27" t="s">
        <v>76</v>
      </c>
      <c r="B52" s="175" t="s">
        <v>69</v>
      </c>
      <c r="C52" s="118" t="s">
        <v>68</v>
      </c>
      <c r="D52" s="28">
        <v>3520</v>
      </c>
      <c r="E52" s="176">
        <v>-4.6100000000000003</v>
      </c>
      <c r="F52" s="28">
        <v>3931</v>
      </c>
      <c r="G52" s="176">
        <v>-2.77</v>
      </c>
      <c r="H52" s="28">
        <v>4575</v>
      </c>
      <c r="I52" s="65">
        <v>1.24</v>
      </c>
      <c r="J52" s="28">
        <v>4560</v>
      </c>
      <c r="K52" s="65">
        <v>0.46</v>
      </c>
      <c r="L52" s="28">
        <v>3653</v>
      </c>
      <c r="M52" s="176">
        <v>-3.44</v>
      </c>
      <c r="N52" s="28">
        <v>3980</v>
      </c>
      <c r="O52" s="176">
        <v>-0.5</v>
      </c>
      <c r="P52" s="28">
        <v>4028</v>
      </c>
      <c r="Q52" s="176">
        <v>-1.76</v>
      </c>
    </row>
    <row r="53" spans="1:25" s="72" customFormat="1" ht="12" customHeight="1" x14ac:dyDescent="0.4">
      <c r="A53" s="15" t="s">
        <v>77</v>
      </c>
      <c r="B53" s="26">
        <v>8040</v>
      </c>
      <c r="C53" s="67">
        <v>-4.09</v>
      </c>
      <c r="D53" s="26">
        <v>10500</v>
      </c>
      <c r="E53" s="67">
        <v>-1.61</v>
      </c>
      <c r="F53" s="26">
        <v>9973</v>
      </c>
      <c r="G53" s="67">
        <v>-3.01</v>
      </c>
      <c r="H53" s="26">
        <v>8575</v>
      </c>
      <c r="I53" s="67">
        <v>-7.3</v>
      </c>
      <c r="J53" s="26">
        <v>7700</v>
      </c>
      <c r="K53" s="67">
        <v>-4.2300000000000004</v>
      </c>
      <c r="L53" s="26">
        <v>8667</v>
      </c>
      <c r="M53" s="67">
        <v>-0.95</v>
      </c>
      <c r="N53" s="26">
        <v>10875</v>
      </c>
      <c r="O53" s="67">
        <v>-7.25</v>
      </c>
      <c r="P53" s="26">
        <v>12018</v>
      </c>
      <c r="Q53" s="66">
        <v>0.23</v>
      </c>
    </row>
    <row r="54" spans="1:25" s="72" customFormat="1" ht="12" customHeight="1" x14ac:dyDescent="0.4">
      <c r="A54" s="27" t="s">
        <v>78</v>
      </c>
      <c r="B54" s="175" t="s">
        <v>69</v>
      </c>
      <c r="C54" s="118" t="s">
        <v>68</v>
      </c>
      <c r="D54" s="28">
        <v>9050</v>
      </c>
      <c r="E54" s="176">
        <v>-1.81</v>
      </c>
      <c r="F54" s="28">
        <v>6203</v>
      </c>
      <c r="G54" s="176">
        <v>-0.57999999999999996</v>
      </c>
      <c r="H54" s="175" t="s">
        <v>69</v>
      </c>
      <c r="I54" s="118" t="s">
        <v>68</v>
      </c>
      <c r="J54" s="175" t="s">
        <v>69</v>
      </c>
      <c r="K54" s="118" t="s">
        <v>68</v>
      </c>
      <c r="L54" s="28">
        <v>5627</v>
      </c>
      <c r="M54" s="176">
        <v>-0.41</v>
      </c>
      <c r="N54" s="28">
        <v>5428</v>
      </c>
      <c r="O54" s="176">
        <v>-4.2300000000000004</v>
      </c>
      <c r="P54" s="28">
        <v>6615</v>
      </c>
      <c r="Q54" s="65">
        <v>0.92</v>
      </c>
    </row>
    <row r="55" spans="1:25" s="72" customFormat="1" ht="12" customHeight="1" x14ac:dyDescent="0.4">
      <c r="A55" s="15" t="s">
        <v>79</v>
      </c>
      <c r="B55" s="26">
        <v>5047</v>
      </c>
      <c r="C55" s="67">
        <v>-6.97</v>
      </c>
      <c r="D55" s="26">
        <v>5918</v>
      </c>
      <c r="E55" s="67">
        <v>-10.43</v>
      </c>
      <c r="F55" s="26">
        <v>5775</v>
      </c>
      <c r="G55" s="67">
        <v>-6.96</v>
      </c>
      <c r="H55" s="26">
        <v>6000</v>
      </c>
      <c r="I55" s="67">
        <v>-11.11</v>
      </c>
      <c r="J55" s="26">
        <v>6450</v>
      </c>
      <c r="K55" s="66">
        <v>1.21</v>
      </c>
      <c r="L55" s="26">
        <v>6062</v>
      </c>
      <c r="M55" s="67">
        <v>-4.66</v>
      </c>
      <c r="N55" s="26">
        <v>5920</v>
      </c>
      <c r="O55" s="67">
        <v>-7.44</v>
      </c>
      <c r="P55" s="26">
        <v>7494</v>
      </c>
      <c r="Q55" s="66">
        <v>0.73</v>
      </c>
    </row>
    <row r="56" spans="1:25" s="73" customFormat="1" ht="12" customHeight="1" x14ac:dyDescent="0.45">
      <c r="A56" s="27" t="s">
        <v>80</v>
      </c>
      <c r="B56" s="28">
        <v>2555</v>
      </c>
      <c r="C56" s="65">
        <v>0.24</v>
      </c>
      <c r="D56" s="28">
        <v>2321</v>
      </c>
      <c r="E56" s="65">
        <v>1.58</v>
      </c>
      <c r="F56" s="175" t="s">
        <v>69</v>
      </c>
      <c r="G56" s="118" t="s">
        <v>68</v>
      </c>
      <c r="H56" s="28">
        <v>2825</v>
      </c>
      <c r="I56" s="65">
        <v>0</v>
      </c>
      <c r="J56" s="28">
        <v>2517</v>
      </c>
      <c r="K56" s="65">
        <v>4.3099999999999996</v>
      </c>
      <c r="L56" s="28">
        <v>2593</v>
      </c>
      <c r="M56" s="176">
        <v>-2.52</v>
      </c>
      <c r="N56" s="28">
        <v>2275</v>
      </c>
      <c r="O56" s="65">
        <v>1.79</v>
      </c>
      <c r="P56" s="28">
        <v>2881</v>
      </c>
      <c r="Q56" s="65">
        <v>0.21</v>
      </c>
      <c r="R56" s="82"/>
      <c r="S56" s="63"/>
      <c r="T56" s="82"/>
      <c r="U56" s="63"/>
      <c r="V56" s="82"/>
      <c r="W56" s="62"/>
      <c r="X56" s="82"/>
      <c r="Y56" s="63"/>
    </row>
    <row r="57" spans="1:25" s="31" customFormat="1" ht="12" customHeight="1" x14ac:dyDescent="0.45">
      <c r="A57" s="15" t="s">
        <v>81</v>
      </c>
      <c r="B57" s="177" t="s">
        <v>69</v>
      </c>
      <c r="C57" s="74" t="s">
        <v>68</v>
      </c>
      <c r="D57" s="26">
        <v>341</v>
      </c>
      <c r="E57" s="67">
        <v>-8.09</v>
      </c>
      <c r="F57" s="26">
        <v>363</v>
      </c>
      <c r="G57" s="74">
        <v>-5.96</v>
      </c>
      <c r="H57" s="26">
        <v>386</v>
      </c>
      <c r="I57" s="67">
        <v>-2.2799999999999998</v>
      </c>
      <c r="J57" s="26">
        <v>428</v>
      </c>
      <c r="K57" s="67">
        <v>-1.61</v>
      </c>
      <c r="L57" s="26">
        <v>361</v>
      </c>
      <c r="M57" s="67">
        <v>-4.5</v>
      </c>
      <c r="N57" s="26">
        <v>405</v>
      </c>
      <c r="O57" s="67">
        <v>-6.9</v>
      </c>
      <c r="P57" s="26">
        <v>442</v>
      </c>
      <c r="Q57" s="67">
        <v>-5.35</v>
      </c>
      <c r="S57" s="68"/>
      <c r="U57" s="68"/>
      <c r="W57" s="68"/>
      <c r="Y57" s="68"/>
    </row>
    <row r="58" spans="1:25" s="31" customFormat="1" ht="12" customHeight="1" x14ac:dyDescent="0.45">
      <c r="A58" s="27" t="s">
        <v>82</v>
      </c>
      <c r="B58" s="28">
        <v>19667</v>
      </c>
      <c r="C58" s="101">
        <v>2.17</v>
      </c>
      <c r="D58" s="28">
        <v>22780</v>
      </c>
      <c r="E58" s="176">
        <v>-2.81</v>
      </c>
      <c r="F58" s="28">
        <v>22333</v>
      </c>
      <c r="G58" s="176">
        <v>-6.29</v>
      </c>
      <c r="H58" s="28">
        <v>19875</v>
      </c>
      <c r="I58" s="101">
        <v>0.31</v>
      </c>
      <c r="J58" s="28">
        <v>25417</v>
      </c>
      <c r="K58" s="65">
        <v>10.51</v>
      </c>
      <c r="L58" s="28">
        <v>24667</v>
      </c>
      <c r="M58" s="65">
        <v>1.02</v>
      </c>
      <c r="N58" s="28">
        <v>29219</v>
      </c>
      <c r="O58" s="176">
        <v>-7.42</v>
      </c>
      <c r="P58" s="175" t="s">
        <v>69</v>
      </c>
      <c r="Q58" s="118" t="s">
        <v>68</v>
      </c>
      <c r="S58" s="68"/>
      <c r="U58" s="68"/>
      <c r="W58" s="68"/>
      <c r="Y58" s="68"/>
    </row>
    <row r="59" spans="1:25" s="31" customFormat="1" ht="12" customHeight="1" x14ac:dyDescent="0.45">
      <c r="A59" s="15" t="s">
        <v>83</v>
      </c>
      <c r="B59" s="26">
        <v>20600</v>
      </c>
      <c r="C59" s="66">
        <v>1.31</v>
      </c>
      <c r="D59" s="26">
        <v>20600</v>
      </c>
      <c r="E59" s="67">
        <v>-8.0399999999999991</v>
      </c>
      <c r="F59" s="177" t="s">
        <v>69</v>
      </c>
      <c r="G59" s="74" t="s">
        <v>68</v>
      </c>
      <c r="H59" s="26">
        <v>16192</v>
      </c>
      <c r="I59" s="178">
        <v>-0.39</v>
      </c>
      <c r="J59" s="26">
        <v>26494</v>
      </c>
      <c r="K59" s="66">
        <v>1.45</v>
      </c>
      <c r="L59" s="26">
        <v>22500</v>
      </c>
      <c r="M59" s="74">
        <v>-5.26</v>
      </c>
      <c r="N59" s="26">
        <v>22975</v>
      </c>
      <c r="O59" s="67">
        <v>-1.46</v>
      </c>
      <c r="P59" s="26">
        <v>23500</v>
      </c>
      <c r="Q59" s="66">
        <v>0</v>
      </c>
      <c r="S59" s="68"/>
      <c r="U59" s="68"/>
      <c r="W59" s="68"/>
      <c r="Y59" s="68"/>
    </row>
    <row r="60" spans="1:25" s="31" customFormat="1" ht="12" customHeight="1" x14ac:dyDescent="0.45">
      <c r="A60" s="27" t="s">
        <v>84</v>
      </c>
      <c r="B60" s="28">
        <v>28600</v>
      </c>
      <c r="C60" s="65">
        <v>0.06</v>
      </c>
      <c r="D60" s="28">
        <v>30063</v>
      </c>
      <c r="E60" s="65">
        <v>1.56</v>
      </c>
      <c r="F60" s="179" t="s">
        <v>69</v>
      </c>
      <c r="G60" s="176" t="s">
        <v>68</v>
      </c>
      <c r="H60" s="28">
        <v>27858</v>
      </c>
      <c r="I60" s="176">
        <v>-0.06</v>
      </c>
      <c r="J60" s="28">
        <v>35081</v>
      </c>
      <c r="K60" s="104">
        <v>0.56000000000000005</v>
      </c>
      <c r="L60" s="28">
        <v>27533</v>
      </c>
      <c r="M60" s="65">
        <v>4.5599999999999996</v>
      </c>
      <c r="N60" s="28">
        <v>35981</v>
      </c>
      <c r="O60" s="65">
        <v>3.27</v>
      </c>
      <c r="P60" s="28">
        <v>31000</v>
      </c>
      <c r="Q60" s="65">
        <v>3.33</v>
      </c>
      <c r="S60" s="68"/>
      <c r="U60" s="68"/>
      <c r="W60" s="68"/>
      <c r="Y60" s="68"/>
    </row>
    <row r="61" spans="1:25" s="31" customFormat="1" ht="12" customHeight="1" x14ac:dyDescent="0.45">
      <c r="A61" s="15" t="s">
        <v>85</v>
      </c>
      <c r="B61" s="26">
        <v>11940</v>
      </c>
      <c r="C61" s="66">
        <v>0.34</v>
      </c>
      <c r="D61" s="26">
        <v>18421</v>
      </c>
      <c r="E61" s="66">
        <v>4.16</v>
      </c>
      <c r="F61" s="26">
        <v>12763</v>
      </c>
      <c r="G61" s="66">
        <v>1.41</v>
      </c>
      <c r="H61" s="26">
        <v>13195</v>
      </c>
      <c r="I61" s="66">
        <v>9.1</v>
      </c>
      <c r="J61" s="26">
        <v>16740</v>
      </c>
      <c r="K61" s="66">
        <v>1.64</v>
      </c>
      <c r="L61" s="26">
        <v>12791</v>
      </c>
      <c r="M61" s="67">
        <v>-2.74</v>
      </c>
      <c r="N61" s="26">
        <v>19719</v>
      </c>
      <c r="O61" s="66">
        <v>3.21</v>
      </c>
      <c r="P61" s="177" t="s">
        <v>69</v>
      </c>
      <c r="Q61" s="74" t="s">
        <v>68</v>
      </c>
      <c r="S61" s="68"/>
      <c r="U61" s="68"/>
      <c r="W61" s="68"/>
      <c r="Y61" s="68"/>
    </row>
    <row r="62" spans="1:25" s="31" customFormat="1" ht="12" customHeight="1" x14ac:dyDescent="0.45">
      <c r="A62" s="27" t="s">
        <v>86</v>
      </c>
      <c r="B62" s="28">
        <v>9717</v>
      </c>
      <c r="C62" s="176">
        <v>-0.33</v>
      </c>
      <c r="D62" s="28">
        <v>8958</v>
      </c>
      <c r="E62" s="104">
        <v>5.39</v>
      </c>
      <c r="F62" s="179" t="s">
        <v>69</v>
      </c>
      <c r="G62" s="176" t="s">
        <v>68</v>
      </c>
      <c r="H62" s="28">
        <v>9722</v>
      </c>
      <c r="I62" s="65">
        <v>17.32</v>
      </c>
      <c r="J62" s="28">
        <v>12250</v>
      </c>
      <c r="K62" s="65">
        <v>0.12</v>
      </c>
      <c r="L62" s="106">
        <v>5475</v>
      </c>
      <c r="M62" s="118">
        <v>-3.63</v>
      </c>
      <c r="N62" s="28">
        <v>8727</v>
      </c>
      <c r="O62" s="65">
        <v>2.72</v>
      </c>
      <c r="P62" s="28">
        <v>9900</v>
      </c>
      <c r="Q62" s="65">
        <v>2.35</v>
      </c>
      <c r="S62" s="68"/>
      <c r="U62" s="68"/>
      <c r="W62" s="68"/>
      <c r="Y62" s="68"/>
    </row>
    <row r="63" spans="1:25" s="31" customFormat="1" ht="12" customHeight="1" x14ac:dyDescent="0.45">
      <c r="A63" s="15" t="s">
        <v>87</v>
      </c>
      <c r="B63" s="26">
        <v>3085</v>
      </c>
      <c r="C63" s="67">
        <v>-7.47</v>
      </c>
      <c r="D63" s="26">
        <v>3169</v>
      </c>
      <c r="E63" s="67">
        <v>-5.12</v>
      </c>
      <c r="F63" s="26">
        <v>3151</v>
      </c>
      <c r="G63" s="67">
        <v>-7.54</v>
      </c>
      <c r="H63" s="26">
        <v>2882</v>
      </c>
      <c r="I63" s="67">
        <v>-10.08</v>
      </c>
      <c r="J63" s="26">
        <v>3253</v>
      </c>
      <c r="K63" s="67">
        <v>-5.63</v>
      </c>
      <c r="L63" s="177" t="s">
        <v>69</v>
      </c>
      <c r="M63" s="74" t="s">
        <v>68</v>
      </c>
      <c r="N63" s="26">
        <v>3182</v>
      </c>
      <c r="O63" s="67">
        <v>-1.61</v>
      </c>
      <c r="P63" s="177" t="s">
        <v>69</v>
      </c>
      <c r="Q63" s="74" t="s">
        <v>68</v>
      </c>
      <c r="S63" s="68"/>
      <c r="U63" s="68"/>
      <c r="W63" s="68"/>
      <c r="Y63" s="68"/>
    </row>
    <row r="64" spans="1:25" s="31" customFormat="1" ht="12" customHeight="1" x14ac:dyDescent="0.45">
      <c r="A64" s="27" t="s">
        <v>88</v>
      </c>
      <c r="B64" s="28">
        <v>52994</v>
      </c>
      <c r="C64" s="65">
        <v>0.01</v>
      </c>
      <c r="D64" s="28">
        <v>51704</v>
      </c>
      <c r="E64" s="65">
        <v>2.86</v>
      </c>
      <c r="F64" s="28">
        <v>43883</v>
      </c>
      <c r="G64" s="176" t="s">
        <v>68</v>
      </c>
      <c r="H64" s="116">
        <v>51951</v>
      </c>
      <c r="I64" s="176">
        <v>-0.57999999999999996</v>
      </c>
      <c r="J64" s="28">
        <v>52227</v>
      </c>
      <c r="K64" s="65">
        <v>1.45</v>
      </c>
      <c r="L64" s="28">
        <v>53656</v>
      </c>
      <c r="M64" s="118">
        <v>-0.56999999999999995</v>
      </c>
      <c r="N64" s="28">
        <v>46994</v>
      </c>
      <c r="O64" s="65">
        <v>0.8</v>
      </c>
      <c r="P64" s="28">
        <v>50740</v>
      </c>
      <c r="Q64" s="65">
        <v>0</v>
      </c>
      <c r="S64" s="68"/>
      <c r="U64" s="68"/>
      <c r="W64" s="68"/>
      <c r="Y64" s="68"/>
    </row>
    <row r="65" spans="1:25" s="31" customFormat="1" ht="12" customHeight="1" x14ac:dyDescent="0.45">
      <c r="A65" s="15" t="s">
        <v>89</v>
      </c>
      <c r="B65" s="26">
        <v>17335</v>
      </c>
      <c r="C65" s="67">
        <v>-0.09</v>
      </c>
      <c r="D65" s="26">
        <v>17418</v>
      </c>
      <c r="E65" s="67">
        <v>-0.28999999999999998</v>
      </c>
      <c r="F65" s="26">
        <v>19249</v>
      </c>
      <c r="G65" s="66">
        <v>1.58</v>
      </c>
      <c r="H65" s="26">
        <v>15246</v>
      </c>
      <c r="I65" s="67">
        <v>-0.92</v>
      </c>
      <c r="J65" s="26">
        <v>19097</v>
      </c>
      <c r="K65" s="67">
        <v>-4.33</v>
      </c>
      <c r="L65" s="26">
        <v>18088</v>
      </c>
      <c r="M65" s="103">
        <v>0.18</v>
      </c>
      <c r="N65" s="26">
        <v>16762</v>
      </c>
      <c r="O65" s="66">
        <v>2.71</v>
      </c>
      <c r="P65" s="26">
        <v>19041</v>
      </c>
      <c r="Q65" s="66">
        <v>5.79</v>
      </c>
      <c r="S65" s="68"/>
      <c r="U65" s="68"/>
      <c r="W65" s="68"/>
      <c r="Y65" s="68"/>
    </row>
    <row r="66" spans="1:25" s="31" customFormat="1" ht="12" customHeight="1" x14ac:dyDescent="0.45">
      <c r="A66" s="27" t="s">
        <v>90</v>
      </c>
      <c r="B66" s="28">
        <v>2291</v>
      </c>
      <c r="C66" s="65">
        <v>0.48</v>
      </c>
      <c r="D66" s="28">
        <v>2700</v>
      </c>
      <c r="E66" s="176">
        <v>-0.52</v>
      </c>
      <c r="F66" s="28">
        <v>3209</v>
      </c>
      <c r="G66" s="65">
        <v>0.03</v>
      </c>
      <c r="H66" s="28">
        <v>2397</v>
      </c>
      <c r="I66" s="65">
        <v>0.28999999999999998</v>
      </c>
      <c r="J66" s="28">
        <v>4567</v>
      </c>
      <c r="K66" s="176">
        <v>-4.32</v>
      </c>
      <c r="L66" s="28">
        <v>3167</v>
      </c>
      <c r="M66" s="118">
        <v>-0.25</v>
      </c>
      <c r="N66" s="28">
        <v>4127</v>
      </c>
      <c r="O66" s="65">
        <v>3.9</v>
      </c>
      <c r="P66" s="28">
        <v>3790</v>
      </c>
      <c r="Q66" s="65">
        <v>1.28</v>
      </c>
      <c r="S66" s="68"/>
      <c r="U66" s="68"/>
      <c r="W66" s="68"/>
      <c r="Y66" s="68"/>
    </row>
    <row r="67" spans="1:25" s="31" customFormat="1" ht="12" customHeight="1" x14ac:dyDescent="0.45">
      <c r="A67" s="15" t="s">
        <v>91</v>
      </c>
      <c r="B67" s="26">
        <v>2755</v>
      </c>
      <c r="C67" s="67">
        <v>-0.11</v>
      </c>
      <c r="D67" s="26">
        <v>4080</v>
      </c>
      <c r="E67" s="67">
        <v>-0.05</v>
      </c>
      <c r="F67" s="26">
        <v>2995</v>
      </c>
      <c r="G67" s="67">
        <v>-0.17</v>
      </c>
      <c r="H67" s="26">
        <v>3208</v>
      </c>
      <c r="I67" s="67">
        <v>-2.99</v>
      </c>
      <c r="J67" s="26">
        <v>4653</v>
      </c>
      <c r="K67" s="67">
        <v>-4.0999999999999996</v>
      </c>
      <c r="L67" s="26">
        <v>2627</v>
      </c>
      <c r="M67" s="67">
        <v>-3.67</v>
      </c>
      <c r="N67" s="177" t="s">
        <v>69</v>
      </c>
      <c r="O67" s="67" t="s">
        <v>68</v>
      </c>
      <c r="P67" s="26">
        <v>3904</v>
      </c>
      <c r="Q67" s="66">
        <v>0</v>
      </c>
      <c r="S67" s="68"/>
      <c r="U67" s="68"/>
      <c r="W67" s="68"/>
      <c r="Y67" s="68"/>
    </row>
    <row r="68" spans="1:25" s="31" customFormat="1" ht="12" customHeight="1" x14ac:dyDescent="0.45">
      <c r="A68" s="27" t="s">
        <v>92</v>
      </c>
      <c r="B68" s="28">
        <v>87017</v>
      </c>
      <c r="C68" s="65">
        <v>0</v>
      </c>
      <c r="D68" s="116">
        <v>84671</v>
      </c>
      <c r="E68" s="117">
        <v>0.13</v>
      </c>
      <c r="F68" s="175" t="s">
        <v>69</v>
      </c>
      <c r="G68" s="176" t="s">
        <v>68</v>
      </c>
      <c r="H68" s="28">
        <v>80625</v>
      </c>
      <c r="I68" s="176">
        <v>-0.39</v>
      </c>
      <c r="J68" s="28">
        <v>92917</v>
      </c>
      <c r="K68" s="65">
        <v>2.11</v>
      </c>
      <c r="L68" s="116">
        <v>70600</v>
      </c>
      <c r="M68" s="117">
        <v>1.1000000000000001</v>
      </c>
      <c r="N68" s="28">
        <v>84297</v>
      </c>
      <c r="O68" s="65">
        <v>0.83</v>
      </c>
      <c r="P68" s="175" t="s">
        <v>69</v>
      </c>
      <c r="Q68" s="176" t="s">
        <v>68</v>
      </c>
      <c r="S68" s="68"/>
      <c r="U68" s="68"/>
      <c r="W68" s="68"/>
      <c r="Y68" s="68"/>
    </row>
    <row r="69" spans="1:25" s="31" customFormat="1" ht="12" customHeight="1" x14ac:dyDescent="0.45">
      <c r="A69" s="15" t="s">
        <v>93</v>
      </c>
      <c r="B69" s="26">
        <v>38847</v>
      </c>
      <c r="C69" s="67">
        <v>-1.43</v>
      </c>
      <c r="D69" s="26">
        <v>36715</v>
      </c>
      <c r="E69" s="67">
        <v>-0.48</v>
      </c>
      <c r="F69" s="26">
        <v>39583</v>
      </c>
      <c r="G69" s="102">
        <v>0.33</v>
      </c>
      <c r="H69" s="177" t="s">
        <v>69</v>
      </c>
      <c r="I69" s="67" t="s">
        <v>68</v>
      </c>
      <c r="J69" s="26">
        <v>26103</v>
      </c>
      <c r="K69" s="67">
        <v>-2.83</v>
      </c>
      <c r="L69" s="26">
        <v>37907</v>
      </c>
      <c r="M69" s="103">
        <v>0.89</v>
      </c>
      <c r="N69" s="26">
        <v>33473</v>
      </c>
      <c r="O69" s="66">
        <v>3.37</v>
      </c>
      <c r="P69" s="26">
        <v>42731</v>
      </c>
      <c r="Q69" s="66">
        <v>0.39</v>
      </c>
      <c r="R69" s="107"/>
      <c r="S69" s="108"/>
      <c r="T69" s="107"/>
      <c r="U69" s="108"/>
      <c r="V69" s="107"/>
      <c r="W69" s="108"/>
      <c r="X69" s="107"/>
      <c r="Y69" s="108"/>
    </row>
    <row r="70" spans="1:25" s="31" customFormat="1" ht="12" customHeight="1" x14ac:dyDescent="0.45">
      <c r="A70" s="27" t="s">
        <v>94</v>
      </c>
      <c r="B70" s="28">
        <v>18745</v>
      </c>
      <c r="C70" s="104">
        <v>0.33</v>
      </c>
      <c r="D70" s="28">
        <v>15198</v>
      </c>
      <c r="E70" s="65">
        <v>1.08</v>
      </c>
      <c r="F70" s="28">
        <v>16417</v>
      </c>
      <c r="G70" s="65">
        <v>0.1</v>
      </c>
      <c r="H70" s="175" t="s">
        <v>69</v>
      </c>
      <c r="I70" s="118" t="s">
        <v>68</v>
      </c>
      <c r="J70" s="28">
        <v>29042</v>
      </c>
      <c r="K70" s="65">
        <v>3.35</v>
      </c>
      <c r="L70" s="105">
        <v>18858</v>
      </c>
      <c r="M70" s="176">
        <v>-1.45</v>
      </c>
      <c r="N70" s="28">
        <v>14717</v>
      </c>
      <c r="O70" s="65">
        <v>2.17</v>
      </c>
      <c r="P70" s="119">
        <v>23232</v>
      </c>
      <c r="Q70" s="117">
        <v>11.26</v>
      </c>
      <c r="R70" s="107"/>
      <c r="S70" s="108"/>
      <c r="T70" s="107"/>
      <c r="U70" s="108"/>
      <c r="V70" s="107"/>
      <c r="W70" s="108"/>
      <c r="X70" s="107"/>
      <c r="Y70" s="108"/>
    </row>
    <row r="71" spans="1:25" s="31" customFormat="1" ht="12" customHeight="1" x14ac:dyDescent="0.45">
      <c r="A71" s="15" t="s">
        <v>95</v>
      </c>
      <c r="B71" s="26">
        <v>7612</v>
      </c>
      <c r="C71" s="103">
        <v>0.89</v>
      </c>
      <c r="D71" s="26">
        <v>4968</v>
      </c>
      <c r="E71" s="67">
        <v>-2.5299999999999998</v>
      </c>
      <c r="F71" s="26">
        <v>5433</v>
      </c>
      <c r="G71" s="67">
        <v>-2.34</v>
      </c>
      <c r="H71" s="26">
        <v>4865</v>
      </c>
      <c r="I71" s="67">
        <v>-3.18</v>
      </c>
      <c r="J71" s="26">
        <v>7069</v>
      </c>
      <c r="K71" s="66">
        <v>0.35</v>
      </c>
      <c r="L71" s="26">
        <v>7912</v>
      </c>
      <c r="M71" s="74">
        <v>-2.2000000000000002</v>
      </c>
      <c r="N71" s="26">
        <v>5506</v>
      </c>
      <c r="O71" s="67">
        <v>-1.2</v>
      </c>
      <c r="P71" s="26">
        <v>5771</v>
      </c>
      <c r="Q71" s="66">
        <v>7.0000000000000007E-2</v>
      </c>
      <c r="R71" s="107"/>
      <c r="S71" s="108"/>
      <c r="T71" s="107"/>
      <c r="U71" s="108"/>
      <c r="V71" s="107"/>
      <c r="W71" s="108"/>
      <c r="X71" s="107"/>
      <c r="Y71" s="108"/>
    </row>
    <row r="72" spans="1:25" s="31" customFormat="1" ht="12" customHeight="1" x14ac:dyDescent="0.45">
      <c r="A72" s="27" t="s">
        <v>96</v>
      </c>
      <c r="B72" s="28">
        <v>5678</v>
      </c>
      <c r="C72" s="65">
        <v>0.11</v>
      </c>
      <c r="D72" s="28">
        <v>7204</v>
      </c>
      <c r="E72" s="176">
        <v>-1.23</v>
      </c>
      <c r="F72" s="28">
        <v>6934</v>
      </c>
      <c r="G72" s="176">
        <v>-1.51</v>
      </c>
      <c r="H72" s="28">
        <v>6483</v>
      </c>
      <c r="I72" s="176">
        <v>-1.52</v>
      </c>
      <c r="J72" s="28">
        <v>7778</v>
      </c>
      <c r="K72" s="65">
        <v>4.1399999999999997</v>
      </c>
      <c r="L72" s="28">
        <v>3078</v>
      </c>
      <c r="M72" s="176">
        <v>-3.45</v>
      </c>
      <c r="N72" s="28">
        <v>7493</v>
      </c>
      <c r="O72" s="65">
        <v>3.38</v>
      </c>
      <c r="P72" s="28">
        <v>6798</v>
      </c>
      <c r="Q72" s="65">
        <v>2.38</v>
      </c>
      <c r="R72" s="107"/>
      <c r="S72" s="108"/>
      <c r="T72" s="107"/>
      <c r="U72" s="108"/>
      <c r="V72" s="107"/>
      <c r="W72" s="108"/>
      <c r="X72" s="107"/>
      <c r="Y72" s="108"/>
    </row>
    <row r="73" spans="1:25" s="31" customFormat="1" ht="12" customHeight="1" x14ac:dyDescent="0.45">
      <c r="A73" s="15" t="s">
        <v>97</v>
      </c>
      <c r="B73" s="26">
        <v>2285</v>
      </c>
      <c r="C73" s="67">
        <v>-0.17</v>
      </c>
      <c r="D73" s="26">
        <v>1731</v>
      </c>
      <c r="E73" s="66">
        <v>0.7</v>
      </c>
      <c r="F73" s="26">
        <v>2307</v>
      </c>
      <c r="G73" s="67">
        <v>-0.6</v>
      </c>
      <c r="H73" s="26">
        <v>856</v>
      </c>
      <c r="I73" s="67">
        <v>-1.61</v>
      </c>
      <c r="J73" s="26">
        <v>2460</v>
      </c>
      <c r="K73" s="66">
        <v>2.97</v>
      </c>
      <c r="L73" s="26">
        <v>2217</v>
      </c>
      <c r="M73" s="66">
        <v>1.23</v>
      </c>
      <c r="N73" s="26">
        <v>2421</v>
      </c>
      <c r="O73" s="66">
        <v>4.22</v>
      </c>
      <c r="P73" s="26">
        <v>1975</v>
      </c>
      <c r="Q73" s="66">
        <v>0.41</v>
      </c>
      <c r="R73" s="107"/>
      <c r="S73" s="108"/>
      <c r="T73" s="107"/>
      <c r="U73" s="108"/>
      <c r="V73" s="107"/>
      <c r="W73" s="108"/>
      <c r="X73" s="107"/>
      <c r="Y73" s="108"/>
    </row>
    <row r="74" spans="1:25" s="31" customFormat="1" ht="12" customHeight="1" x14ac:dyDescent="0.45">
      <c r="A74" s="27" t="s">
        <v>98</v>
      </c>
      <c r="B74" s="28">
        <v>19064</v>
      </c>
      <c r="C74" s="176">
        <v>-0.36</v>
      </c>
      <c r="D74" s="28">
        <v>17954</v>
      </c>
      <c r="E74" s="176">
        <v>-5.62</v>
      </c>
      <c r="F74" s="28">
        <v>17395</v>
      </c>
      <c r="G74" s="176">
        <v>-0.23</v>
      </c>
      <c r="H74" s="28">
        <v>18611</v>
      </c>
      <c r="I74" s="176">
        <v>-0.51</v>
      </c>
      <c r="J74" s="28">
        <v>23929</v>
      </c>
      <c r="K74" s="65">
        <v>2.66</v>
      </c>
      <c r="L74" s="28">
        <v>21528</v>
      </c>
      <c r="M74" s="65">
        <v>0.9</v>
      </c>
      <c r="N74" s="28">
        <v>22205</v>
      </c>
      <c r="O74" s="65">
        <v>2.13</v>
      </c>
      <c r="P74" s="175" t="s">
        <v>69</v>
      </c>
      <c r="Q74" s="176" t="s">
        <v>68</v>
      </c>
      <c r="S74" s="68"/>
      <c r="U74" s="68"/>
      <c r="W74" s="68"/>
      <c r="Y74" s="68"/>
    </row>
    <row r="75" spans="1:25" x14ac:dyDescent="0.45">
      <c r="A75" s="109" t="s">
        <v>99</v>
      </c>
      <c r="B75" s="110">
        <v>11954</v>
      </c>
      <c r="C75" s="121">
        <v>-0.11</v>
      </c>
      <c r="D75" s="110">
        <v>16832</v>
      </c>
      <c r="E75" s="112">
        <v>0.52</v>
      </c>
      <c r="F75" s="120">
        <v>17312</v>
      </c>
      <c r="G75" s="121">
        <v>-0.39</v>
      </c>
      <c r="H75" s="110">
        <v>11262</v>
      </c>
      <c r="I75" s="111">
        <v>0.99</v>
      </c>
      <c r="J75" s="110">
        <v>15200</v>
      </c>
      <c r="K75" s="121">
        <v>-0.06</v>
      </c>
      <c r="L75" s="110">
        <v>17680</v>
      </c>
      <c r="M75" s="121">
        <v>-1.72</v>
      </c>
      <c r="N75" s="122">
        <v>17228</v>
      </c>
      <c r="O75" s="121">
        <v>-0.52</v>
      </c>
      <c r="P75" s="110">
        <v>18062</v>
      </c>
      <c r="Q75" s="111">
        <v>0.33</v>
      </c>
    </row>
    <row r="76" spans="1:25" x14ac:dyDescent="0.45">
      <c r="A76" s="15"/>
      <c r="B76" s="26"/>
      <c r="C76" s="66"/>
      <c r="D76" s="26"/>
      <c r="E76" s="102"/>
      <c r="F76" s="125"/>
      <c r="G76" s="67"/>
      <c r="H76" s="26"/>
      <c r="I76" s="66"/>
      <c r="J76" s="26"/>
      <c r="K76" s="66"/>
      <c r="L76" s="26"/>
      <c r="M76" s="66"/>
      <c r="N76" s="126"/>
      <c r="O76" s="127"/>
      <c r="P76" s="26"/>
      <c r="Q76" s="66"/>
    </row>
    <row r="77" spans="1:25" s="31" customFormat="1" x14ac:dyDescent="0.45">
      <c r="A77" s="22" t="s">
        <v>12</v>
      </c>
      <c r="B77" s="32"/>
      <c r="C77" s="33"/>
      <c r="D77" s="32"/>
      <c r="E77" s="33"/>
      <c r="F77" s="32"/>
      <c r="G77" s="33"/>
      <c r="H77" s="32"/>
      <c r="I77" s="33"/>
      <c r="J77" s="32"/>
      <c r="K77" s="33"/>
      <c r="L77" s="32"/>
      <c r="M77" s="33"/>
      <c r="N77" s="32"/>
      <c r="O77" s="33"/>
      <c r="P77" s="32"/>
      <c r="Q77" s="33"/>
      <c r="R77" s="32"/>
      <c r="S77" s="33"/>
      <c r="T77" s="32"/>
      <c r="U77" s="33"/>
      <c r="V77" s="32"/>
      <c r="W77" s="33"/>
      <c r="X77" s="32"/>
      <c r="Y77" s="33"/>
    </row>
    <row r="78" spans="1:25" s="31" customFormat="1" x14ac:dyDescent="0.45">
      <c r="A78" s="34" t="s">
        <v>13</v>
      </c>
      <c r="B78" s="32"/>
      <c r="C78" s="33"/>
      <c r="D78" s="32"/>
      <c r="E78" s="33"/>
      <c r="F78" s="32"/>
      <c r="G78" s="33"/>
      <c r="H78" s="32"/>
      <c r="I78" s="33"/>
      <c r="J78" s="32"/>
      <c r="K78" s="33"/>
      <c r="L78" s="32"/>
      <c r="M78" s="33"/>
      <c r="N78" s="32"/>
      <c r="O78" s="33"/>
      <c r="P78" s="32"/>
      <c r="Q78" s="33"/>
      <c r="R78" s="32"/>
      <c r="S78" s="33"/>
      <c r="T78" s="32"/>
      <c r="U78" s="33"/>
      <c r="V78" s="32"/>
      <c r="W78" s="33"/>
      <c r="X78" s="32"/>
      <c r="Y78" s="33"/>
    </row>
    <row r="79" spans="1:25" s="31" customFormat="1" ht="19.5" customHeight="1" x14ac:dyDescent="0.45">
      <c r="A79" s="153" t="s">
        <v>49</v>
      </c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</row>
    <row r="80" spans="1:25" s="31" customFormat="1" x14ac:dyDescent="0.45">
      <c r="A80" s="22" t="s">
        <v>14</v>
      </c>
      <c r="B80" s="35"/>
      <c r="C80" s="36"/>
      <c r="D80" s="37"/>
      <c r="E80" s="36"/>
      <c r="F80" s="37"/>
      <c r="G80" s="36"/>
      <c r="H80" s="38"/>
      <c r="I80" s="36"/>
      <c r="J80" s="35"/>
      <c r="K80" s="36"/>
      <c r="L80" s="37"/>
      <c r="M80" s="36"/>
      <c r="N80" s="37"/>
      <c r="O80" s="36"/>
      <c r="P80" s="38"/>
      <c r="Q80" s="36"/>
      <c r="R80" s="37"/>
      <c r="S80" s="39"/>
      <c r="T80" s="37"/>
      <c r="U80" s="39"/>
      <c r="V80" s="37"/>
      <c r="W80" s="39"/>
      <c r="X80" s="37"/>
      <c r="Y80" s="39"/>
    </row>
    <row r="81" spans="1:25" s="31" customFormat="1" x14ac:dyDescent="0.45">
      <c r="A81" s="40" t="s">
        <v>15</v>
      </c>
      <c r="B81" s="32"/>
      <c r="C81" s="33"/>
      <c r="D81" s="32"/>
      <c r="E81" s="33"/>
      <c r="F81" s="32"/>
      <c r="G81" s="33"/>
      <c r="H81" s="32"/>
      <c r="I81" s="33"/>
      <c r="J81" s="32"/>
      <c r="K81" s="33"/>
      <c r="L81" s="32"/>
      <c r="M81" s="33"/>
      <c r="N81" s="32"/>
      <c r="O81" s="33"/>
      <c r="P81" s="32"/>
      <c r="Q81" s="33"/>
      <c r="R81" s="32"/>
      <c r="S81" s="33"/>
      <c r="T81" s="32"/>
      <c r="U81" s="33"/>
      <c r="V81" s="32"/>
      <c r="W81" s="33"/>
      <c r="X81" s="32"/>
      <c r="Y81" s="33"/>
    </row>
    <row r="83" spans="1:25" x14ac:dyDescent="0.45">
      <c r="A83" s="8" t="str">
        <f>+Índice!A14</f>
        <v>Fecha de actualización: 11 de noviembre de 2025</v>
      </c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</row>
  </sheetData>
  <mergeCells count="11">
    <mergeCell ref="A79:Y79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hyperlinks>
    <hyperlink ref="S5" location="Índice!A1" display="Regresar al índice" xr:uid="{172CDF23-0751-4F6A-B5E0-48C27F080073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Y57"/>
  <sheetViews>
    <sheetView showGridLines="0" zoomScaleNormal="100" workbookViewId="0">
      <selection activeCell="A6" sqref="A6"/>
    </sheetView>
  </sheetViews>
  <sheetFormatPr baseColWidth="10" defaultColWidth="11.453125" defaultRowHeight="16" x14ac:dyDescent="0.45"/>
  <cols>
    <col min="1" max="1" width="24.453125" style="47" customWidth="1"/>
    <col min="2" max="2" width="12" style="47" bestFit="1" customWidth="1"/>
    <col min="3" max="3" width="9.453125" style="47" customWidth="1"/>
    <col min="4" max="4" width="13.54296875" style="47" bestFit="1" customWidth="1"/>
    <col min="5" max="5" width="12" style="47" customWidth="1"/>
    <col min="6" max="6" width="10.26953125" style="47" customWidth="1"/>
    <col min="7" max="7" width="9.453125" style="47" customWidth="1"/>
    <col min="8" max="8" width="10.54296875" style="47" customWidth="1"/>
    <col min="9" max="9" width="9.26953125" style="47" customWidth="1"/>
    <col min="10" max="16384" width="11.453125" style="47"/>
  </cols>
  <sheetData>
    <row r="1" spans="1:11" s="41" customFormat="1" ht="18" customHeight="1" x14ac:dyDescent="0.4"/>
    <row r="2" spans="1:11" s="41" customFormat="1" ht="33" customHeight="1" x14ac:dyDescent="0.4"/>
    <row r="3" spans="1:11" s="41" customFormat="1" ht="19" customHeight="1" x14ac:dyDescent="0.4"/>
    <row r="4" spans="1:11" s="41" customFormat="1" ht="18.75" customHeight="1" x14ac:dyDescent="0.4">
      <c r="A4" s="160" t="s">
        <v>0</v>
      </c>
      <c r="B4" s="160"/>
      <c r="C4" s="160"/>
      <c r="D4" s="160"/>
      <c r="E4" s="160"/>
      <c r="F4" s="160"/>
      <c r="G4" s="160"/>
      <c r="H4" s="160"/>
      <c r="I4" s="160"/>
    </row>
    <row r="5" spans="1:11" s="41" customFormat="1" ht="24" customHeight="1" x14ac:dyDescent="0.4">
      <c r="A5" s="160"/>
      <c r="B5" s="160"/>
      <c r="C5" s="160"/>
      <c r="D5" s="160"/>
      <c r="E5" s="160"/>
      <c r="F5" s="160"/>
      <c r="G5" s="160"/>
      <c r="H5" s="160"/>
      <c r="I5" s="160"/>
      <c r="K5" s="96" t="s">
        <v>63</v>
      </c>
    </row>
    <row r="6" spans="1:11" s="41" customFormat="1" ht="18.75" customHeight="1" x14ac:dyDescent="0.4">
      <c r="A6" s="42" t="s">
        <v>16</v>
      </c>
      <c r="B6" s="43"/>
      <c r="C6" s="43"/>
      <c r="D6" s="43"/>
      <c r="E6" s="43"/>
      <c r="F6" s="43"/>
      <c r="G6" s="43"/>
      <c r="H6" s="43"/>
      <c r="I6" s="43"/>
    </row>
    <row r="7" spans="1:11" s="41" customFormat="1" ht="15" customHeight="1" x14ac:dyDescent="0.4">
      <c r="A7" s="42" t="str">
        <f>+"Variación año corrido. "&amp;Índice!A7</f>
        <v>Variación año corrido. Octubre de 2025</v>
      </c>
      <c r="B7" s="43"/>
      <c r="C7" s="43"/>
      <c r="D7" s="43"/>
      <c r="E7" s="43"/>
      <c r="F7" s="43"/>
      <c r="G7" s="43"/>
      <c r="H7" s="43"/>
      <c r="I7" s="43"/>
    </row>
    <row r="8" spans="1:11" s="41" customFormat="1" ht="14" x14ac:dyDescent="0.4"/>
    <row r="9" spans="1:11" x14ac:dyDescent="0.45">
      <c r="A9" s="44" t="s">
        <v>50</v>
      </c>
      <c r="B9" s="45" t="s">
        <v>2</v>
      </c>
      <c r="C9" s="45" t="s">
        <v>3</v>
      </c>
      <c r="D9" s="45" t="s">
        <v>4</v>
      </c>
      <c r="E9" s="46" t="s">
        <v>5</v>
      </c>
      <c r="F9" s="45" t="s">
        <v>6</v>
      </c>
      <c r="G9" s="45" t="s">
        <v>7</v>
      </c>
      <c r="H9" s="45" t="s">
        <v>8</v>
      </c>
      <c r="I9" s="45" t="s">
        <v>9</v>
      </c>
    </row>
    <row r="10" spans="1:11" ht="14" customHeight="1" x14ac:dyDescent="0.45">
      <c r="A10" s="48" t="s">
        <v>17</v>
      </c>
      <c r="B10" s="48"/>
      <c r="C10" s="48"/>
      <c r="D10" s="48"/>
      <c r="E10" s="48"/>
      <c r="F10" s="48"/>
      <c r="G10" s="48"/>
      <c r="H10" s="48"/>
      <c r="I10" s="48"/>
    </row>
    <row r="11" spans="1:11" ht="14" customHeight="1" x14ac:dyDescent="0.45">
      <c r="A11" s="1" t="s">
        <v>18</v>
      </c>
      <c r="B11" s="97">
        <v>120.11173184357543</v>
      </c>
      <c r="C11" s="49">
        <v>28.529584065612212</v>
      </c>
      <c r="D11" s="49">
        <v>39.979859013091648</v>
      </c>
      <c r="E11" s="97" t="s">
        <v>68</v>
      </c>
      <c r="F11" s="49">
        <v>19.983883964544667</v>
      </c>
      <c r="G11" s="49">
        <v>31.604765241765943</v>
      </c>
      <c r="H11" s="49">
        <v>55.119825708060979</v>
      </c>
      <c r="I11" s="49">
        <v>44.275420336269036</v>
      </c>
    </row>
    <row r="12" spans="1:11" ht="14" customHeight="1" x14ac:dyDescent="0.45">
      <c r="A12" s="69" t="s">
        <v>19</v>
      </c>
      <c r="B12" s="128">
        <v>-8.7022132796780731</v>
      </c>
      <c r="C12" s="128">
        <v>-18.550319488817902</v>
      </c>
      <c r="D12" s="128">
        <v>-14.606986899563301</v>
      </c>
      <c r="E12" s="129" t="s">
        <v>68</v>
      </c>
      <c r="F12" s="128">
        <v>-14.829659318637257</v>
      </c>
      <c r="G12" s="128">
        <v>3.1461044309009534</v>
      </c>
      <c r="H12" s="128">
        <v>-20.155038759689937</v>
      </c>
      <c r="I12" s="114">
        <v>-19.131832797427638</v>
      </c>
    </row>
    <row r="13" spans="1:11" ht="14" customHeight="1" x14ac:dyDescent="0.45">
      <c r="A13" s="1" t="s">
        <v>20</v>
      </c>
      <c r="B13" s="49">
        <v>10.669253152279357</v>
      </c>
      <c r="C13" s="49">
        <v>17.772054088860223</v>
      </c>
      <c r="D13" s="49">
        <v>17.38002594033723</v>
      </c>
      <c r="E13" s="49">
        <v>13.962832747363141</v>
      </c>
      <c r="F13" s="49">
        <v>17.273795534665126</v>
      </c>
      <c r="G13" s="49">
        <v>21.579961464354547</v>
      </c>
      <c r="H13" s="49">
        <v>11.297297297297316</v>
      </c>
      <c r="I13" s="49">
        <v>9.6631695196024445</v>
      </c>
    </row>
    <row r="14" spans="1:11" ht="14" customHeight="1" x14ac:dyDescent="0.45">
      <c r="A14" s="69" t="s">
        <v>21</v>
      </c>
      <c r="B14" s="130">
        <v>46.444906444906422</v>
      </c>
      <c r="C14" s="128">
        <v>51.831683168316836</v>
      </c>
      <c r="D14" s="128">
        <v>39.420289855072468</v>
      </c>
      <c r="E14" s="129">
        <v>32.690909090909081</v>
      </c>
      <c r="F14" s="114">
        <v>89.915966386554629</v>
      </c>
      <c r="G14" s="128">
        <v>54.829742876997933</v>
      </c>
      <c r="H14" s="128">
        <v>-21.880650994575067</v>
      </c>
      <c r="I14" s="128">
        <v>4.4507042253520979</v>
      </c>
    </row>
    <row r="15" spans="1:11" ht="14" customHeight="1" x14ac:dyDescent="0.45">
      <c r="A15" s="1" t="s">
        <v>22</v>
      </c>
      <c r="B15" s="97" t="s">
        <v>68</v>
      </c>
      <c r="C15" s="49">
        <v>93.546365914786975</v>
      </c>
      <c r="D15" s="49">
        <v>39.484978540772552</v>
      </c>
      <c r="E15" s="49">
        <v>48.12734082397003</v>
      </c>
      <c r="F15" s="49">
        <v>52.119026149684444</v>
      </c>
      <c r="G15" s="49">
        <v>30.312699425654156</v>
      </c>
      <c r="H15" s="49">
        <v>-5.4347826086956434</v>
      </c>
      <c r="I15" s="131" t="s">
        <v>68</v>
      </c>
    </row>
    <row r="16" spans="1:11" ht="14" customHeight="1" x14ac:dyDescent="0.45">
      <c r="A16" s="69" t="s">
        <v>58</v>
      </c>
      <c r="B16" s="114">
        <v>-23.993477988210188</v>
      </c>
      <c r="C16" s="128">
        <v>17.734447539461474</v>
      </c>
      <c r="D16" s="128">
        <v>33.628318584070804</v>
      </c>
      <c r="E16" s="114" t="s">
        <v>68</v>
      </c>
      <c r="F16" s="128">
        <v>20.622475647422167</v>
      </c>
      <c r="G16" s="128">
        <v>22.106318956870652</v>
      </c>
      <c r="H16" s="128">
        <v>33.253659994024474</v>
      </c>
      <c r="I16" s="129">
        <v>30.873087308730906</v>
      </c>
    </row>
    <row r="17" spans="1:9" ht="14" customHeight="1" x14ac:dyDescent="0.45">
      <c r="A17" s="1" t="s">
        <v>23</v>
      </c>
      <c r="B17" s="49">
        <v>7.719928186714542</v>
      </c>
      <c r="C17" s="49">
        <v>12.100840336134455</v>
      </c>
      <c r="D17" s="49">
        <v>9.2209373097991598</v>
      </c>
      <c r="E17" s="49">
        <v>6.268530283778051</v>
      </c>
      <c r="F17" s="49">
        <v>22.538293216630191</v>
      </c>
      <c r="G17" s="49">
        <v>-12.801442416046871</v>
      </c>
      <c r="H17" s="49">
        <v>-16.406858924395952</v>
      </c>
      <c r="I17" s="49">
        <v>13.487475915221591</v>
      </c>
    </row>
    <row r="18" spans="1:9" ht="14" customHeight="1" x14ac:dyDescent="0.45">
      <c r="A18" s="69" t="s">
        <v>24</v>
      </c>
      <c r="B18" s="128">
        <v>-2.480270574971799</v>
      </c>
      <c r="C18" s="128">
        <v>-47.384751773049658</v>
      </c>
      <c r="D18" s="128">
        <v>-44.333478072079913</v>
      </c>
      <c r="E18" s="128">
        <v>-14.31623931623932</v>
      </c>
      <c r="F18" s="128">
        <v>0.85561497326203106</v>
      </c>
      <c r="G18" s="128">
        <v>-33.974639265413195</v>
      </c>
      <c r="H18" s="128">
        <v>-33.35820895522388</v>
      </c>
      <c r="I18" s="128">
        <v>-19.608826479438324</v>
      </c>
    </row>
    <row r="19" spans="1:9" ht="14" customHeight="1" x14ac:dyDescent="0.45">
      <c r="A19" s="1" t="s">
        <v>25</v>
      </c>
      <c r="B19" s="49">
        <v>101.50966183574877</v>
      </c>
      <c r="C19" s="49">
        <v>53.894425987449225</v>
      </c>
      <c r="D19" s="49">
        <v>193.82129277566534</v>
      </c>
      <c r="E19" s="49">
        <v>82.9539438856538</v>
      </c>
      <c r="F19" s="49">
        <v>132.78048780487802</v>
      </c>
      <c r="G19" s="49">
        <v>66.707021791767644</v>
      </c>
      <c r="H19" s="49">
        <v>103.57866306549627</v>
      </c>
      <c r="I19" s="49">
        <v>92.65573770491801</v>
      </c>
    </row>
    <row r="20" spans="1:9" ht="14" customHeight="1" x14ac:dyDescent="0.45">
      <c r="A20" s="69" t="s">
        <v>26</v>
      </c>
      <c r="B20" s="128">
        <v>-9.59286112660347</v>
      </c>
      <c r="C20" s="128">
        <v>-26.795945350374616</v>
      </c>
      <c r="D20" s="128">
        <v>-37.943436324995929</v>
      </c>
      <c r="E20" s="128">
        <v>-19.680666435265525</v>
      </c>
      <c r="F20" s="128">
        <v>-4.99741066804763</v>
      </c>
      <c r="G20" s="128">
        <v>-46.029504080351536</v>
      </c>
      <c r="H20" s="128">
        <v>-23.717948717948691</v>
      </c>
      <c r="I20" s="128">
        <v>-34.335651193384734</v>
      </c>
    </row>
    <row r="21" spans="1:9" ht="14" customHeight="1" x14ac:dyDescent="0.45">
      <c r="A21" s="1" t="s">
        <v>27</v>
      </c>
      <c r="B21" s="49">
        <v>52.343186733958127</v>
      </c>
      <c r="C21" s="49">
        <v>122.02247191011244</v>
      </c>
      <c r="D21" s="49">
        <v>44.058205335489077</v>
      </c>
      <c r="E21" s="49">
        <v>73.870743571924962</v>
      </c>
      <c r="F21" s="49">
        <v>122.95238095238084</v>
      </c>
      <c r="G21" s="49">
        <v>22.810734463276837</v>
      </c>
      <c r="H21" s="49">
        <v>124.44444444444444</v>
      </c>
      <c r="I21" s="132">
        <v>98.830006882312404</v>
      </c>
    </row>
    <row r="22" spans="1:9" ht="14" customHeight="1" x14ac:dyDescent="0.45">
      <c r="A22" s="69" t="s">
        <v>28</v>
      </c>
      <c r="B22" s="128">
        <v>-34.932659932659938</v>
      </c>
      <c r="C22" s="128">
        <v>-29.087947882736167</v>
      </c>
      <c r="D22" s="128">
        <v>-45.847696646819166</v>
      </c>
      <c r="E22" s="114">
        <v>-29.683972911963885</v>
      </c>
      <c r="F22" s="114">
        <v>-14.103962195565245</v>
      </c>
      <c r="G22" s="114">
        <v>-47.25833804409271</v>
      </c>
      <c r="H22" s="128">
        <v>-34.524185899462545</v>
      </c>
      <c r="I22" s="128">
        <v>-25.633333333333329</v>
      </c>
    </row>
    <row r="23" spans="1:9" ht="14" customHeight="1" x14ac:dyDescent="0.45">
      <c r="A23" s="71" t="s">
        <v>29</v>
      </c>
      <c r="B23" s="133">
        <v>15.156440471353093</v>
      </c>
      <c r="C23" s="134">
        <v>5.9198865650478494</v>
      </c>
      <c r="D23" s="134">
        <v>4.2069632495165044</v>
      </c>
      <c r="E23" s="134">
        <v>18.867924528301884</v>
      </c>
      <c r="F23" s="134">
        <v>18.696581196581196</v>
      </c>
      <c r="G23" s="134">
        <v>19.937369519832981</v>
      </c>
      <c r="H23" s="134">
        <v>29.434202161474921</v>
      </c>
      <c r="I23" s="135">
        <v>15.654952076677331</v>
      </c>
    </row>
    <row r="24" spans="1:9" ht="14" customHeight="1" x14ac:dyDescent="0.45">
      <c r="A24" s="48" t="s">
        <v>30</v>
      </c>
      <c r="B24" s="48"/>
      <c r="C24" s="48"/>
      <c r="D24" s="48"/>
      <c r="E24" s="48"/>
      <c r="F24" s="48"/>
      <c r="G24" s="48"/>
      <c r="H24" s="48"/>
      <c r="I24" s="48"/>
    </row>
    <row r="25" spans="1:9" ht="14" customHeight="1" x14ac:dyDescent="0.45">
      <c r="A25" s="1" t="s">
        <v>48</v>
      </c>
      <c r="B25" s="97" t="s">
        <v>68</v>
      </c>
      <c r="C25" s="49">
        <v>-15.459747434885573</v>
      </c>
      <c r="D25" s="97">
        <v>-7.8437435580292476</v>
      </c>
      <c r="E25" s="97">
        <v>-6.1495063469675593</v>
      </c>
      <c r="F25" s="97">
        <v>5.6141182044297189</v>
      </c>
      <c r="G25" s="131" t="s">
        <v>68</v>
      </c>
      <c r="H25" s="49">
        <v>12.965108793614011</v>
      </c>
      <c r="I25" s="97">
        <v>26.223684210526322</v>
      </c>
    </row>
    <row r="26" spans="1:9" ht="14" customHeight="1" x14ac:dyDescent="0.45">
      <c r="A26" s="69" t="s">
        <v>31</v>
      </c>
      <c r="B26" s="128">
        <v>-10.191082802547768</v>
      </c>
      <c r="C26" s="128">
        <v>-21.14754098360655</v>
      </c>
      <c r="D26" s="128">
        <v>-0.47409414155097362</v>
      </c>
      <c r="E26" s="129" t="s">
        <v>68</v>
      </c>
      <c r="F26" s="128">
        <v>-23.781212841854927</v>
      </c>
      <c r="G26" s="128">
        <v>-24.003491416933375</v>
      </c>
      <c r="H26" s="128">
        <v>-29.948301329394379</v>
      </c>
      <c r="I26" s="128">
        <v>-12.022900763358768</v>
      </c>
    </row>
    <row r="27" spans="1:9" ht="14" customHeight="1" x14ac:dyDescent="0.45">
      <c r="A27" s="1" t="s">
        <v>32</v>
      </c>
      <c r="B27" s="97">
        <v>-24.894616403709492</v>
      </c>
      <c r="C27" s="49">
        <v>-14.266220071951386</v>
      </c>
      <c r="D27" s="97" t="s">
        <v>68</v>
      </c>
      <c r="E27" s="49">
        <v>-26.776440785307155</v>
      </c>
      <c r="F27" s="49">
        <v>-4.7689191677407479</v>
      </c>
      <c r="G27" s="97" t="s">
        <v>68</v>
      </c>
      <c r="H27" s="49">
        <v>-25.517241379310327</v>
      </c>
      <c r="I27" s="97">
        <v>-26.274407023981126</v>
      </c>
    </row>
    <row r="28" spans="1:9" ht="14" customHeight="1" x14ac:dyDescent="0.45">
      <c r="A28" s="69" t="s">
        <v>33</v>
      </c>
      <c r="B28" s="129" t="s">
        <v>68</v>
      </c>
      <c r="C28" s="128">
        <v>-7.0681296249043513</v>
      </c>
      <c r="D28" s="128">
        <v>-3.117729176361117</v>
      </c>
      <c r="E28" s="114" t="s">
        <v>68</v>
      </c>
      <c r="F28" s="114">
        <v>7.9379027533684532</v>
      </c>
      <c r="G28" s="114">
        <v>-2.1409245971062307</v>
      </c>
      <c r="H28" s="128">
        <v>-32.872889633040359</v>
      </c>
      <c r="I28" s="114">
        <v>-16.689114730010999</v>
      </c>
    </row>
    <row r="29" spans="1:9" ht="14" customHeight="1" x14ac:dyDescent="0.45">
      <c r="A29" s="1" t="s">
        <v>34</v>
      </c>
      <c r="B29" s="49">
        <v>-18.057169416686037</v>
      </c>
      <c r="C29" s="49">
        <v>25.34275031159121</v>
      </c>
      <c r="D29" s="49">
        <v>-52.2008002910149</v>
      </c>
      <c r="E29" s="49">
        <v>-6.5666041275797564</v>
      </c>
      <c r="F29" s="97">
        <v>-14.945550131430696</v>
      </c>
      <c r="G29" s="49">
        <v>-35.955385970061648</v>
      </c>
      <c r="H29" s="49">
        <v>-9.4019933554817303</v>
      </c>
      <c r="I29" s="49">
        <v>-13.274660799413308</v>
      </c>
    </row>
    <row r="30" spans="1:9" ht="14" customHeight="1" x14ac:dyDescent="0.45">
      <c r="A30" s="69" t="s">
        <v>55</v>
      </c>
      <c r="B30" s="114">
        <v>35.348407937240367</v>
      </c>
      <c r="C30" s="114">
        <v>37.108537108537121</v>
      </c>
      <c r="D30" s="114" t="s">
        <v>68</v>
      </c>
      <c r="E30" s="128">
        <v>49.724972497249652</v>
      </c>
      <c r="F30" s="114">
        <v>91.986531986531944</v>
      </c>
      <c r="G30" s="114">
        <v>30.962186447023619</v>
      </c>
      <c r="H30" s="128">
        <v>104.14603960396036</v>
      </c>
      <c r="I30" s="128">
        <v>133.09300648882481</v>
      </c>
    </row>
    <row r="31" spans="1:9" ht="14" customHeight="1" x14ac:dyDescent="0.45">
      <c r="A31" s="1" t="s">
        <v>35</v>
      </c>
      <c r="B31" s="49">
        <v>7.6129032258064555</v>
      </c>
      <c r="C31" s="49">
        <v>0</v>
      </c>
      <c r="D31" s="49">
        <v>11.895910780669162</v>
      </c>
      <c r="E31" s="49">
        <v>-3.3121445299431396</v>
      </c>
      <c r="F31" s="49">
        <v>6.3091482649842323</v>
      </c>
      <c r="G31" s="49">
        <v>8.4484590860786302</v>
      </c>
      <c r="H31" s="49">
        <v>12.915851272015665</v>
      </c>
      <c r="I31" s="49">
        <v>-6.3431247339293284</v>
      </c>
    </row>
    <row r="32" spans="1:9" ht="14" customHeight="1" x14ac:dyDescent="0.45">
      <c r="A32" s="69" t="s">
        <v>36</v>
      </c>
      <c r="B32" s="128">
        <v>36.503182328715809</v>
      </c>
      <c r="C32" s="128">
        <v>49.429409846755767</v>
      </c>
      <c r="D32" s="114">
        <v>11.691113028472856</v>
      </c>
      <c r="E32" s="114">
        <v>36.964415395787874</v>
      </c>
      <c r="F32" s="114">
        <v>3.8527889591719378</v>
      </c>
      <c r="G32" s="128">
        <v>30.140845070422561</v>
      </c>
      <c r="H32" s="128">
        <v>39.882697947214126</v>
      </c>
      <c r="I32" s="114">
        <v>1.1402508551881851</v>
      </c>
    </row>
    <row r="33" spans="1:25" ht="14" customHeight="1" x14ac:dyDescent="0.45">
      <c r="A33" s="1" t="s">
        <v>37</v>
      </c>
      <c r="B33" s="136">
        <v>95.891853932584297</v>
      </c>
      <c r="C33" s="136">
        <v>231.45695364238415</v>
      </c>
      <c r="D33" s="49">
        <v>180.65134099616853</v>
      </c>
      <c r="E33" s="131" t="s">
        <v>68</v>
      </c>
      <c r="F33" s="49">
        <v>139.89159891598919</v>
      </c>
      <c r="G33" s="97">
        <v>96.173848439821626</v>
      </c>
      <c r="H33" s="49">
        <v>252.7320034692107</v>
      </c>
      <c r="I33" s="136">
        <v>134.3635411210058</v>
      </c>
    </row>
    <row r="34" spans="1:25" ht="14" customHeight="1" x14ac:dyDescent="0.45">
      <c r="A34" s="69" t="s">
        <v>51</v>
      </c>
      <c r="B34" s="114" t="s">
        <v>68</v>
      </c>
      <c r="C34" s="128">
        <v>0</v>
      </c>
      <c r="D34" s="128">
        <v>5.1328846811908413</v>
      </c>
      <c r="E34" s="128">
        <v>-2.8451698279664872</v>
      </c>
      <c r="F34" s="128">
        <v>6.5685939103660607</v>
      </c>
      <c r="G34" s="128">
        <v>1.8353605560382347</v>
      </c>
      <c r="H34" s="128">
        <v>1.9574371230226539</v>
      </c>
      <c r="I34" s="128">
        <v>1.3693979176097715</v>
      </c>
    </row>
    <row r="35" spans="1:25" ht="14" customHeight="1" x14ac:dyDescent="0.45">
      <c r="A35" s="1" t="s">
        <v>38</v>
      </c>
      <c r="B35" s="97" t="s">
        <v>68</v>
      </c>
      <c r="C35" s="49">
        <v>62.78218425869435</v>
      </c>
      <c r="D35" s="49">
        <v>40.624080070650614</v>
      </c>
      <c r="E35" s="97" t="s">
        <v>68</v>
      </c>
      <c r="F35" s="49">
        <v>39.26184248764892</v>
      </c>
      <c r="G35" s="49">
        <v>13.340292275574139</v>
      </c>
      <c r="H35" s="49">
        <v>42.367000771010034</v>
      </c>
      <c r="I35" s="49">
        <v>12.03893442622952</v>
      </c>
    </row>
    <row r="36" spans="1:25" ht="14" customHeight="1" x14ac:dyDescent="0.45">
      <c r="A36" s="69" t="s">
        <v>39</v>
      </c>
      <c r="B36" s="128">
        <v>-1.2406015037594087</v>
      </c>
      <c r="C36" s="128">
        <v>-19.649430324276949</v>
      </c>
      <c r="D36" s="128">
        <v>1.8879415347138107</v>
      </c>
      <c r="E36" s="128">
        <v>-6.208014825110042</v>
      </c>
      <c r="F36" s="128">
        <v>-15.718755751886615</v>
      </c>
      <c r="G36" s="128">
        <v>-1.6695059625212783</v>
      </c>
      <c r="H36" s="128">
        <v>9.0197215777262585</v>
      </c>
      <c r="I36" s="128">
        <v>-13.80871533672895</v>
      </c>
    </row>
    <row r="37" spans="1:25" ht="14" customHeight="1" x14ac:dyDescent="0.45">
      <c r="A37" s="1" t="s">
        <v>57</v>
      </c>
      <c r="B37" s="97">
        <v>16.99939503932244</v>
      </c>
      <c r="C37" s="49">
        <v>7.0245860511790825</v>
      </c>
      <c r="D37" s="49">
        <v>0.75440067057834792</v>
      </c>
      <c r="E37" s="97" t="s">
        <v>68</v>
      </c>
      <c r="F37" s="131">
        <v>16.926201760325021</v>
      </c>
      <c r="G37" s="97">
        <v>28.727272727272734</v>
      </c>
      <c r="H37" s="49">
        <v>5.1500223914016985</v>
      </c>
      <c r="I37" s="49">
        <v>-4.5479155387114005</v>
      </c>
    </row>
    <row r="38" spans="1:25" ht="14" customHeight="1" x14ac:dyDescent="0.45">
      <c r="A38" s="69" t="s">
        <v>56</v>
      </c>
      <c r="B38" s="137">
        <v>29.274116523400195</v>
      </c>
      <c r="C38" s="114">
        <v>62.962962962962955</v>
      </c>
      <c r="D38" s="128">
        <v>5.4307116104868491</v>
      </c>
      <c r="E38" s="114">
        <v>-1.4598540145985384</v>
      </c>
      <c r="F38" s="128">
        <v>51.732797589151168</v>
      </c>
      <c r="G38" s="128">
        <v>32.653965440850662</v>
      </c>
      <c r="H38" s="128">
        <v>40.977806368607325</v>
      </c>
      <c r="I38" s="128">
        <v>49.201741654571805</v>
      </c>
    </row>
    <row r="39" spans="1:25" ht="14" customHeight="1" x14ac:dyDescent="0.45">
      <c r="A39" s="1" t="s">
        <v>40</v>
      </c>
      <c r="B39" s="49">
        <v>-3.3084657800843575</v>
      </c>
      <c r="C39" s="49">
        <v>6.0287610619468968</v>
      </c>
      <c r="D39" s="49">
        <v>8.4216725559481667</v>
      </c>
      <c r="E39" s="97">
        <v>-12.108682811577054</v>
      </c>
      <c r="F39" s="97">
        <v>-5.1813471502590751</v>
      </c>
      <c r="G39" s="97">
        <v>-10.842293906810063</v>
      </c>
      <c r="H39" s="97">
        <v>8.873184138201772</v>
      </c>
      <c r="I39" s="97">
        <v>-3.3333333333333326</v>
      </c>
    </row>
    <row r="40" spans="1:25" ht="14" customHeight="1" x14ac:dyDescent="0.45">
      <c r="A40" s="70" t="s">
        <v>41</v>
      </c>
      <c r="B40" s="138">
        <v>-8.0898075552387816</v>
      </c>
      <c r="C40" s="138">
        <v>14.870689655172441</v>
      </c>
      <c r="D40" s="138">
        <v>6.2642369020501132</v>
      </c>
      <c r="E40" s="138">
        <v>7.3593073593073655</v>
      </c>
      <c r="F40" s="138">
        <v>4.6449307726663225</v>
      </c>
      <c r="G40" s="139">
        <v>10.315907184791717</v>
      </c>
      <c r="H40" s="138">
        <v>7.4016563146998005</v>
      </c>
      <c r="I40" s="138">
        <v>-2.1864211737629424</v>
      </c>
    </row>
    <row r="41" spans="1:25" ht="14" customHeight="1" x14ac:dyDescent="0.45">
      <c r="A41" s="48" t="s">
        <v>42</v>
      </c>
      <c r="B41" s="48"/>
      <c r="C41" s="48"/>
      <c r="D41" s="48"/>
      <c r="E41" s="48"/>
      <c r="F41" s="48"/>
      <c r="G41" s="48"/>
      <c r="H41" s="48"/>
      <c r="I41" s="48"/>
    </row>
    <row r="42" spans="1:25" ht="14" customHeight="1" x14ac:dyDescent="0.45">
      <c r="A42" s="1" t="s">
        <v>43</v>
      </c>
      <c r="B42" s="131" t="s">
        <v>68</v>
      </c>
      <c r="C42" s="49">
        <v>172.14799588900314</v>
      </c>
      <c r="D42" s="49">
        <v>-24.934520691461504</v>
      </c>
      <c r="E42" s="131" t="s">
        <v>68</v>
      </c>
      <c r="F42" s="49">
        <v>194.37428243398389</v>
      </c>
      <c r="G42" s="49">
        <v>-42.172523961661348</v>
      </c>
      <c r="H42" s="49">
        <v>-50.814026299311202</v>
      </c>
      <c r="I42" s="97">
        <v>-5.4515866558177422</v>
      </c>
    </row>
    <row r="43" spans="1:25" ht="14" customHeight="1" x14ac:dyDescent="0.45">
      <c r="A43" s="69" t="s">
        <v>44</v>
      </c>
      <c r="B43" s="128">
        <v>-44.62326261887344</v>
      </c>
      <c r="C43" s="128">
        <v>-54.955456570155903</v>
      </c>
      <c r="D43" s="128">
        <v>-50.355987055016186</v>
      </c>
      <c r="E43" s="128">
        <v>-54.360465116279059</v>
      </c>
      <c r="F43" s="128">
        <v>-60.186806771745459</v>
      </c>
      <c r="G43" s="114">
        <v>-48.675246025738097</v>
      </c>
      <c r="H43" s="128">
        <v>-53.937845891868875</v>
      </c>
      <c r="I43" s="114">
        <v>-53.857457751653193</v>
      </c>
    </row>
    <row r="44" spans="1:25" ht="14" customHeight="1" x14ac:dyDescent="0.45">
      <c r="A44" s="1" t="s">
        <v>52</v>
      </c>
      <c r="B44" s="97">
        <v>19.020884796766225</v>
      </c>
      <c r="C44" s="49">
        <v>9.9142230201476842</v>
      </c>
      <c r="D44" s="49">
        <v>82.729468599033851</v>
      </c>
      <c r="E44" s="49">
        <v>12.080000000000002</v>
      </c>
      <c r="F44" s="49">
        <v>43.977864583333371</v>
      </c>
      <c r="G44" s="49">
        <v>87.694900969237295</v>
      </c>
      <c r="H44" s="49">
        <v>97.695390781563148</v>
      </c>
      <c r="I44" s="49">
        <v>31.054294742889944</v>
      </c>
    </row>
    <row r="45" spans="1:25" ht="14" customHeight="1" x14ac:dyDescent="0.45">
      <c r="A45" s="69" t="s">
        <v>45</v>
      </c>
      <c r="B45" s="128">
        <v>11.188405797101453</v>
      </c>
      <c r="C45" s="128">
        <v>36.050389032975175</v>
      </c>
      <c r="D45" s="128">
        <v>34.265944645006009</v>
      </c>
      <c r="E45" s="128">
        <v>43.502135448444143</v>
      </c>
      <c r="F45" s="128">
        <v>-30.238627889634596</v>
      </c>
      <c r="G45" s="128">
        <v>40.504405955636599</v>
      </c>
      <c r="H45" s="128">
        <v>-29.91904259063708</v>
      </c>
      <c r="I45" s="128">
        <v>-26.462816157040404</v>
      </c>
    </row>
    <row r="46" spans="1:25" x14ac:dyDescent="0.45">
      <c r="A46" s="71" t="s">
        <v>46</v>
      </c>
      <c r="B46" s="134">
        <v>115.93662628145384</v>
      </c>
      <c r="C46" s="134">
        <v>92.526881720430111</v>
      </c>
      <c r="D46" s="134">
        <v>84.363039912520549</v>
      </c>
      <c r="E46" s="134">
        <v>117.0923379174853</v>
      </c>
      <c r="F46" s="134">
        <v>129.89601386481803</v>
      </c>
      <c r="G46" s="134">
        <v>56.881243063263028</v>
      </c>
      <c r="H46" s="134">
        <v>53.746630727762799</v>
      </c>
      <c r="I46" s="134">
        <v>145.20668425681623</v>
      </c>
    </row>
    <row r="47" spans="1:25" x14ac:dyDescent="0.45">
      <c r="A47" s="1"/>
      <c r="B47" s="49"/>
      <c r="C47" s="49"/>
      <c r="D47" s="49"/>
      <c r="E47" s="49"/>
      <c r="F47" s="49"/>
      <c r="G47" s="49"/>
      <c r="H47" s="49"/>
      <c r="I47" s="49"/>
    </row>
    <row r="48" spans="1:25" s="31" customFormat="1" x14ac:dyDescent="0.45">
      <c r="A48" s="92" t="s">
        <v>62</v>
      </c>
      <c r="B48" s="26"/>
      <c r="C48" s="66"/>
      <c r="D48" s="76"/>
      <c r="E48" s="67"/>
      <c r="F48" s="75"/>
      <c r="G48" s="60"/>
      <c r="H48" s="26"/>
      <c r="I48" s="66"/>
      <c r="J48" s="26"/>
      <c r="K48" s="66"/>
      <c r="L48" s="76"/>
      <c r="M48" s="74"/>
      <c r="N48" s="75"/>
      <c r="O48" s="77"/>
      <c r="P48" s="26"/>
      <c r="Q48" s="66"/>
      <c r="R48" s="29"/>
      <c r="S48" s="30"/>
      <c r="T48" s="29"/>
      <c r="U48" s="30"/>
      <c r="V48" s="29"/>
      <c r="W48" s="30"/>
      <c r="X48" s="29"/>
      <c r="Y48" s="30"/>
    </row>
    <row r="49" spans="1:9" x14ac:dyDescent="0.45">
      <c r="A49" s="50" t="s">
        <v>12</v>
      </c>
      <c r="B49" s="51"/>
      <c r="C49" s="52"/>
      <c r="D49" s="52"/>
      <c r="E49" s="51"/>
      <c r="F49" s="52"/>
      <c r="G49" s="52"/>
      <c r="H49" s="52"/>
      <c r="I49" s="52"/>
    </row>
    <row r="50" spans="1:9" x14ac:dyDescent="0.45">
      <c r="A50" s="53" t="s">
        <v>54</v>
      </c>
      <c r="B50" s="53"/>
      <c r="C50" s="53"/>
      <c r="D50" s="53"/>
      <c r="E50" s="53"/>
      <c r="F50" s="53"/>
      <c r="G50" s="53"/>
      <c r="H50" s="53"/>
      <c r="I50" s="53"/>
    </row>
    <row r="51" spans="1:9" x14ac:dyDescent="0.45">
      <c r="A51" s="54" t="s">
        <v>14</v>
      </c>
      <c r="B51" s="51"/>
      <c r="C51" s="52"/>
      <c r="D51" s="52"/>
      <c r="E51" s="51"/>
      <c r="F51" s="52"/>
      <c r="G51" s="52"/>
      <c r="H51" s="52"/>
      <c r="I51" s="52"/>
    </row>
    <row r="52" spans="1:9" x14ac:dyDescent="0.45">
      <c r="A52" s="55" t="s">
        <v>15</v>
      </c>
      <c r="B52" s="56"/>
      <c r="C52" s="56"/>
      <c r="D52" s="56"/>
      <c r="E52" s="56"/>
      <c r="F52" s="56"/>
      <c r="G52" s="56"/>
      <c r="H52" s="56"/>
      <c r="I52" s="56"/>
    </row>
    <row r="53" spans="1:9" x14ac:dyDescent="0.45">
      <c r="A53" s="5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57" t="str">
        <f>+Índice!A14</f>
        <v>Fecha de actualización: 11 de noviembre de 2025</v>
      </c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55"/>
      <c r="B55" s="6"/>
      <c r="C55" s="7"/>
      <c r="D55" s="6"/>
      <c r="E55" s="7"/>
      <c r="F55" s="6"/>
      <c r="G55" s="7"/>
      <c r="H55" s="6"/>
      <c r="I55" s="7"/>
    </row>
    <row r="56" spans="1:9" x14ac:dyDescent="0.45">
      <c r="A56" s="55"/>
      <c r="B56" s="6"/>
      <c r="C56" s="7"/>
      <c r="D56" s="6"/>
      <c r="E56" s="7"/>
      <c r="F56" s="6"/>
      <c r="G56" s="7"/>
      <c r="H56" s="6"/>
      <c r="I56" s="7"/>
    </row>
    <row r="57" spans="1:9" x14ac:dyDescent="0.45">
      <c r="A57" s="55"/>
      <c r="B57" s="6"/>
      <c r="C57" s="7"/>
      <c r="D57" s="6"/>
      <c r="E57" s="7"/>
      <c r="F57" s="6"/>
      <c r="G57" s="7"/>
      <c r="H57" s="6"/>
      <c r="I57" s="7"/>
    </row>
  </sheetData>
  <mergeCells count="1">
    <mergeCell ref="A4:I5"/>
  </mergeCells>
  <hyperlinks>
    <hyperlink ref="K5" location="Índice!A1" display="Regresar al índice" xr:uid="{F7402EBD-9201-4A84-8AF0-7C5F9A3B5FC8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Y57"/>
  <sheetViews>
    <sheetView showGridLines="0" workbookViewId="0">
      <selection activeCell="A6" sqref="A6"/>
    </sheetView>
  </sheetViews>
  <sheetFormatPr baseColWidth="10" defaultColWidth="11.453125" defaultRowHeight="16" x14ac:dyDescent="0.45"/>
  <cols>
    <col min="1" max="1" width="24.453125" style="47" customWidth="1"/>
    <col min="2" max="2" width="12" style="47" bestFit="1" customWidth="1"/>
    <col min="3" max="3" width="9.453125" style="47" customWidth="1"/>
    <col min="4" max="4" width="13.54296875" style="47" bestFit="1" customWidth="1"/>
    <col min="5" max="5" width="12" style="47" customWidth="1"/>
    <col min="6" max="6" width="10.26953125" style="47" customWidth="1"/>
    <col min="7" max="7" width="9.453125" style="47" customWidth="1"/>
    <col min="8" max="8" width="10.54296875" style="47" customWidth="1"/>
    <col min="9" max="9" width="9.26953125" style="47" customWidth="1"/>
    <col min="10" max="16384" width="11.453125" style="47"/>
  </cols>
  <sheetData>
    <row r="1" spans="1:11" s="41" customFormat="1" ht="18.5" customHeight="1" x14ac:dyDescent="0.4"/>
    <row r="2" spans="1:11" s="41" customFormat="1" ht="33" customHeight="1" x14ac:dyDescent="0.4"/>
    <row r="3" spans="1:11" s="41" customFormat="1" ht="19" customHeight="1" x14ac:dyDescent="0.4"/>
    <row r="4" spans="1:11" s="41" customFormat="1" ht="18.75" customHeight="1" x14ac:dyDescent="0.4">
      <c r="A4" s="160" t="s">
        <v>0</v>
      </c>
      <c r="B4" s="160"/>
      <c r="C4" s="160"/>
      <c r="D4" s="160"/>
      <c r="E4" s="160"/>
      <c r="F4" s="160"/>
      <c r="G4" s="160"/>
      <c r="H4" s="160"/>
      <c r="I4" s="160"/>
    </row>
    <row r="5" spans="1:11" s="41" customFormat="1" ht="27.75" customHeight="1" x14ac:dyDescent="0.4">
      <c r="A5" s="160"/>
      <c r="B5" s="160"/>
      <c r="C5" s="160"/>
      <c r="D5" s="160"/>
      <c r="E5" s="160"/>
      <c r="F5" s="160"/>
      <c r="G5" s="160"/>
      <c r="H5" s="160"/>
      <c r="I5" s="160"/>
      <c r="K5" s="96" t="s">
        <v>63</v>
      </c>
    </row>
    <row r="6" spans="1:11" s="41" customFormat="1" ht="18.75" customHeight="1" x14ac:dyDescent="0.4">
      <c r="A6" s="42" t="s">
        <v>16</v>
      </c>
      <c r="B6" s="43"/>
      <c r="C6" s="43"/>
      <c r="D6" s="43"/>
      <c r="E6" s="43"/>
      <c r="F6" s="43"/>
      <c r="G6" s="43"/>
      <c r="H6" s="43"/>
      <c r="I6" s="43"/>
    </row>
    <row r="7" spans="1:11" s="41" customFormat="1" ht="15" customHeight="1" x14ac:dyDescent="0.4">
      <c r="A7" s="42" t="str">
        <f>+"Variación anual. "&amp;Índice!A7</f>
        <v>Variación anual. Octubre de 2025</v>
      </c>
      <c r="B7" s="43"/>
      <c r="C7" s="43"/>
      <c r="D7" s="43"/>
      <c r="E7" s="43"/>
      <c r="F7" s="43"/>
      <c r="G7" s="43"/>
      <c r="H7" s="43"/>
      <c r="I7" s="43"/>
    </row>
    <row r="8" spans="1:11" s="41" customFormat="1" ht="14" x14ac:dyDescent="0.4"/>
    <row r="9" spans="1:11" x14ac:dyDescent="0.45">
      <c r="A9" s="44" t="s">
        <v>50</v>
      </c>
      <c r="B9" s="58" t="s">
        <v>2</v>
      </c>
      <c r="C9" s="58" t="s">
        <v>3</v>
      </c>
      <c r="D9" s="58" t="s">
        <v>4</v>
      </c>
      <c r="E9" s="59" t="s">
        <v>5</v>
      </c>
      <c r="F9" s="58" t="s">
        <v>6</v>
      </c>
      <c r="G9" s="58" t="s">
        <v>7</v>
      </c>
      <c r="H9" s="58" t="s">
        <v>8</v>
      </c>
      <c r="I9" s="58" t="s">
        <v>9</v>
      </c>
    </row>
    <row r="10" spans="1:11" ht="14" customHeight="1" x14ac:dyDescent="0.45">
      <c r="A10" s="48" t="s">
        <v>17</v>
      </c>
      <c r="B10" s="48"/>
      <c r="C10" s="48"/>
      <c r="D10" s="48"/>
      <c r="E10" s="48"/>
      <c r="F10" s="48"/>
      <c r="G10" s="48"/>
      <c r="H10" s="48"/>
      <c r="I10" s="48"/>
    </row>
    <row r="11" spans="1:11" ht="14" customHeight="1" x14ac:dyDescent="0.45">
      <c r="A11" s="1" t="s">
        <v>18</v>
      </c>
      <c r="B11" s="97">
        <v>59.169550173010357</v>
      </c>
      <c r="C11" s="49">
        <v>94.452449567723363</v>
      </c>
      <c r="D11" s="49">
        <v>51.724137931034477</v>
      </c>
      <c r="E11" s="97" t="s">
        <v>68</v>
      </c>
      <c r="F11" s="49">
        <v>64.255765199161388</v>
      </c>
      <c r="G11" s="49">
        <v>44.27536231884055</v>
      </c>
      <c r="H11" s="49">
        <v>86.531986531986462</v>
      </c>
      <c r="I11" s="49">
        <v>66.991078669910834</v>
      </c>
    </row>
    <row r="12" spans="1:11" ht="14" customHeight="1" x14ac:dyDescent="0.45">
      <c r="A12" s="69" t="s">
        <v>19</v>
      </c>
      <c r="B12" s="128">
        <v>9.5082759453908317</v>
      </c>
      <c r="C12" s="128">
        <v>23.994565217391294</v>
      </c>
      <c r="D12" s="128">
        <v>48.876236140245744</v>
      </c>
      <c r="E12" s="129" t="s">
        <v>68</v>
      </c>
      <c r="F12" s="128">
        <v>69.227981152591568</v>
      </c>
      <c r="G12" s="128">
        <v>15.088105726872181</v>
      </c>
      <c r="H12" s="128">
        <v>0.44162296439413939</v>
      </c>
      <c r="I12" s="114">
        <v>29.59129511677283</v>
      </c>
    </row>
    <row r="13" spans="1:11" ht="14" customHeight="1" x14ac:dyDescent="0.45">
      <c r="A13" s="1" t="s">
        <v>20</v>
      </c>
      <c r="B13" s="49">
        <v>71.840209561231177</v>
      </c>
      <c r="C13" s="49">
        <v>126.43805309734506</v>
      </c>
      <c r="D13" s="49">
        <v>52.301255230125541</v>
      </c>
      <c r="E13" s="49">
        <v>75.494880546075095</v>
      </c>
      <c r="F13" s="49">
        <v>50.031826861871423</v>
      </c>
      <c r="G13" s="49">
        <v>55.31757754800595</v>
      </c>
      <c r="H13" s="49">
        <v>104.69157254561252</v>
      </c>
      <c r="I13" s="49">
        <v>94.808510638297889</v>
      </c>
    </row>
    <row r="14" spans="1:11" ht="14" customHeight="1" x14ac:dyDescent="0.45">
      <c r="A14" s="69" t="s">
        <v>21</v>
      </c>
      <c r="B14" s="130">
        <v>59.41794664510909</v>
      </c>
      <c r="C14" s="128">
        <v>132.42784380305602</v>
      </c>
      <c r="D14" s="128">
        <v>64.813785436353541</v>
      </c>
      <c r="E14" s="129">
        <v>27.776059387565731</v>
      </c>
      <c r="F14" s="114">
        <v>134.53987730061354</v>
      </c>
      <c r="G14" s="128">
        <v>76.126984126984155</v>
      </c>
      <c r="H14" s="128">
        <v>10.734463276836138</v>
      </c>
      <c r="I14" s="128">
        <v>39.108061749571199</v>
      </c>
    </row>
    <row r="15" spans="1:11" ht="14" customHeight="1" x14ac:dyDescent="0.45">
      <c r="A15" s="1" t="s">
        <v>22</v>
      </c>
      <c r="B15" s="97" t="s">
        <v>68</v>
      </c>
      <c r="C15" s="49">
        <v>14.285714285714302</v>
      </c>
      <c r="D15" s="49">
        <v>24.614197530864224</v>
      </c>
      <c r="E15" s="49">
        <v>20.268456375838937</v>
      </c>
      <c r="F15" s="49">
        <v>-4.2982910409114172</v>
      </c>
      <c r="G15" s="49">
        <v>37.709700948212998</v>
      </c>
      <c r="H15" s="49">
        <v>21.089385474860368</v>
      </c>
      <c r="I15" s="131" t="s">
        <v>68</v>
      </c>
    </row>
    <row r="16" spans="1:11" ht="14" customHeight="1" x14ac:dyDescent="0.45">
      <c r="A16" s="69" t="s">
        <v>58</v>
      </c>
      <c r="B16" s="114">
        <v>-27.380812242495566</v>
      </c>
      <c r="C16" s="128">
        <v>68.201970443349765</v>
      </c>
      <c r="D16" s="128">
        <v>41.549475837381735</v>
      </c>
      <c r="E16" s="114" t="s">
        <v>68</v>
      </c>
      <c r="F16" s="128">
        <v>20.394289598912295</v>
      </c>
      <c r="G16" s="128">
        <v>7.7062886223191907</v>
      </c>
      <c r="H16" s="128">
        <v>9.2927207021166414</v>
      </c>
      <c r="I16" s="129">
        <v>11.826599326599352</v>
      </c>
    </row>
    <row r="17" spans="1:9" ht="14" customHeight="1" x14ac:dyDescent="0.45">
      <c r="A17" s="1" t="s">
        <v>23</v>
      </c>
      <c r="B17" s="49">
        <v>-24.508467977418714</v>
      </c>
      <c r="C17" s="49">
        <v>-13.00405631114292</v>
      </c>
      <c r="D17" s="49">
        <v>-24.201380015333495</v>
      </c>
      <c r="E17" s="49">
        <v>-13.384175405147747</v>
      </c>
      <c r="F17" s="49">
        <v>-39.85910270671117</v>
      </c>
      <c r="G17" s="49">
        <v>-22.306417238929676</v>
      </c>
      <c r="H17" s="49">
        <v>-26.992287917737791</v>
      </c>
      <c r="I17" s="49">
        <v>-30.011135857461024</v>
      </c>
    </row>
    <row r="18" spans="1:9" ht="14" customHeight="1" x14ac:dyDescent="0.45">
      <c r="A18" s="69" t="s">
        <v>24</v>
      </c>
      <c r="B18" s="128">
        <v>18.196037539103237</v>
      </c>
      <c r="C18" s="128">
        <v>178.1278962001854</v>
      </c>
      <c r="D18" s="128">
        <v>-28.068244358833272</v>
      </c>
      <c r="E18" s="128">
        <v>41.724941724941722</v>
      </c>
      <c r="F18" s="128">
        <v>76.066350710900466</v>
      </c>
      <c r="G18" s="128">
        <v>-12.302999491611589</v>
      </c>
      <c r="H18" s="128">
        <v>68.59504132231406</v>
      </c>
      <c r="I18" s="128">
        <v>66.279069767441825</v>
      </c>
    </row>
    <row r="19" spans="1:9" ht="14" customHeight="1" x14ac:dyDescent="0.45">
      <c r="A19" s="1" t="s">
        <v>25</v>
      </c>
      <c r="B19" s="49">
        <v>80.507131537242444</v>
      </c>
      <c r="C19" s="49">
        <v>64.558754129306251</v>
      </c>
      <c r="D19" s="49">
        <v>157.375</v>
      </c>
      <c r="E19" s="49">
        <v>84.090909090909079</v>
      </c>
      <c r="F19" s="49">
        <v>82.861514919663335</v>
      </c>
      <c r="G19" s="49">
        <v>89.693154996066113</v>
      </c>
      <c r="H19" s="49">
        <v>130.8176100628931</v>
      </c>
      <c r="I19" s="49">
        <v>101.78173719376393</v>
      </c>
    </row>
    <row r="20" spans="1:9" ht="14" customHeight="1" x14ac:dyDescent="0.45">
      <c r="A20" s="69" t="s">
        <v>26</v>
      </c>
      <c r="B20" s="128">
        <v>20.235967107615306</v>
      </c>
      <c r="C20" s="128">
        <v>-6.6041422430637038</v>
      </c>
      <c r="D20" s="128">
        <v>-14.315304948216346</v>
      </c>
      <c r="E20" s="128">
        <v>-11.033138401559462</v>
      </c>
      <c r="F20" s="128">
        <v>1.9607843137255276</v>
      </c>
      <c r="G20" s="128">
        <v>-16.967267869071467</v>
      </c>
      <c r="H20" s="128">
        <v>-4.7363969551733609</v>
      </c>
      <c r="I20" s="128">
        <v>-10.994285714285756</v>
      </c>
    </row>
    <row r="21" spans="1:9" ht="14" customHeight="1" x14ac:dyDescent="0.45">
      <c r="A21" s="1" t="s">
        <v>27</v>
      </c>
      <c r="B21" s="49">
        <v>47.521865889212769</v>
      </c>
      <c r="C21" s="49">
        <v>70.888355342136933</v>
      </c>
      <c r="D21" s="49">
        <v>69.94680851063832</v>
      </c>
      <c r="E21" s="49">
        <v>48.255550521069338</v>
      </c>
      <c r="F21" s="49">
        <v>49.237668161434911</v>
      </c>
      <c r="G21" s="49">
        <v>79.084967320261484</v>
      </c>
      <c r="H21" s="49">
        <v>56.370656370656391</v>
      </c>
      <c r="I21" s="132">
        <v>61.425661914460235</v>
      </c>
    </row>
    <row r="22" spans="1:9" ht="14" customHeight="1" x14ac:dyDescent="0.45">
      <c r="A22" s="69" t="s">
        <v>28</v>
      </c>
      <c r="B22" s="128">
        <v>5.516328331862308</v>
      </c>
      <c r="C22" s="128">
        <v>49.028400597907272</v>
      </c>
      <c r="D22" s="128">
        <v>-6.0453400503778116</v>
      </c>
      <c r="E22" s="114">
        <v>-3.4053156146179431</v>
      </c>
      <c r="F22" s="114">
        <v>39.325842696629195</v>
      </c>
      <c r="G22" s="114">
        <v>2.9640427599611385</v>
      </c>
      <c r="H22" s="128">
        <v>36.137667304015331</v>
      </c>
      <c r="I22" s="128">
        <v>54.446262956901272</v>
      </c>
    </row>
    <row r="23" spans="1:9" ht="14" customHeight="1" x14ac:dyDescent="0.45">
      <c r="A23" s="71" t="s">
        <v>29</v>
      </c>
      <c r="B23" s="133">
        <v>100.85513078470822</v>
      </c>
      <c r="C23" s="134">
        <v>74.869320466425407</v>
      </c>
      <c r="D23" s="134">
        <v>91.70235546038559</v>
      </c>
      <c r="E23" s="134">
        <v>81.324557795146006</v>
      </c>
      <c r="F23" s="134">
        <v>63.861566484517304</v>
      </c>
      <c r="G23" s="134">
        <v>65.695931477516083</v>
      </c>
      <c r="H23" s="134">
        <v>108.95036615134259</v>
      </c>
      <c r="I23" s="135">
        <v>97.552130553037202</v>
      </c>
    </row>
    <row r="24" spans="1:9" ht="14" customHeight="1" x14ac:dyDescent="0.45">
      <c r="A24" s="48" t="s">
        <v>30</v>
      </c>
      <c r="B24" s="48"/>
      <c r="C24" s="48"/>
      <c r="D24" s="48"/>
      <c r="E24" s="48"/>
      <c r="F24" s="48"/>
      <c r="G24" s="48"/>
      <c r="H24" s="48"/>
      <c r="I24" s="48"/>
    </row>
    <row r="25" spans="1:9" ht="14" customHeight="1" x14ac:dyDescent="0.45">
      <c r="A25" s="1" t="s">
        <v>48</v>
      </c>
      <c r="B25" s="97" t="s">
        <v>68</v>
      </c>
      <c r="C25" s="49">
        <v>-20.562103354487782</v>
      </c>
      <c r="D25" s="97">
        <v>-16.348237147921996</v>
      </c>
      <c r="E25" s="97">
        <v>-18.930006697923663</v>
      </c>
      <c r="F25" s="97">
        <v>-28.555640567882325</v>
      </c>
      <c r="G25" s="131" t="s">
        <v>68</v>
      </c>
      <c r="H25" s="49">
        <v>-34.085949303340598</v>
      </c>
      <c r="I25" s="97">
        <v>-34.795885567341678</v>
      </c>
    </row>
    <row r="26" spans="1:9" ht="14" customHeight="1" x14ac:dyDescent="0.45">
      <c r="A26" s="69" t="s">
        <v>31</v>
      </c>
      <c r="B26" s="128">
        <v>50.317124735729379</v>
      </c>
      <c r="C26" s="128">
        <v>-16.689944134078203</v>
      </c>
      <c r="D26" s="128">
        <v>-11.347517730496449</v>
      </c>
      <c r="E26" s="129" t="s">
        <v>68</v>
      </c>
      <c r="F26" s="128">
        <v>14.149523331660818</v>
      </c>
      <c r="G26" s="128">
        <v>-18.715929739551761</v>
      </c>
      <c r="H26" s="128">
        <v>-24.599156118143441</v>
      </c>
      <c r="I26" s="128">
        <v>-10.380952380952358</v>
      </c>
    </row>
    <row r="27" spans="1:9" ht="14" customHeight="1" x14ac:dyDescent="0.45">
      <c r="A27" s="1" t="s">
        <v>32</v>
      </c>
      <c r="B27" s="97">
        <v>6.7040951122853354</v>
      </c>
      <c r="C27" s="49">
        <v>-4.0240641711229985</v>
      </c>
      <c r="D27" s="97" t="s">
        <v>68</v>
      </c>
      <c r="E27" s="49">
        <v>-31.785793809841898</v>
      </c>
      <c r="F27" s="49">
        <v>29.468960359012719</v>
      </c>
      <c r="G27" s="97" t="s">
        <v>68</v>
      </c>
      <c r="H27" s="49">
        <v>-21.705924913578222</v>
      </c>
      <c r="I27" s="97">
        <v>-11.151248625726407</v>
      </c>
    </row>
    <row r="28" spans="1:9" ht="14" customHeight="1" x14ac:dyDescent="0.45">
      <c r="A28" s="69" t="s">
        <v>33</v>
      </c>
      <c r="B28" s="129" t="s">
        <v>68</v>
      </c>
      <c r="C28" s="128">
        <v>40.765874939408597</v>
      </c>
      <c r="D28" s="128">
        <v>19.157403595443888</v>
      </c>
      <c r="E28" s="114" t="s">
        <v>68</v>
      </c>
      <c r="F28" s="114">
        <v>16.091051805337496</v>
      </c>
      <c r="G28" s="114">
        <v>6.1043689320388284</v>
      </c>
      <c r="H28" s="128">
        <v>-2.4418223533268169</v>
      </c>
      <c r="I28" s="114">
        <v>22.864934692120009</v>
      </c>
    </row>
    <row r="29" spans="1:9" ht="14" customHeight="1" x14ac:dyDescent="0.45">
      <c r="A29" s="1" t="s">
        <v>34</v>
      </c>
      <c r="B29" s="49">
        <v>23.356510745891267</v>
      </c>
      <c r="C29" s="49">
        <v>64.608199273482114</v>
      </c>
      <c r="D29" s="49">
        <v>6.7700987306065219</v>
      </c>
      <c r="E29" s="49">
        <v>18.996655518394622</v>
      </c>
      <c r="F29" s="97">
        <v>20.592991913746637</v>
      </c>
      <c r="G29" s="49">
        <v>37.662964751327841</v>
      </c>
      <c r="H29" s="49">
        <v>2.7997128499640977</v>
      </c>
      <c r="I29" s="49">
        <v>9.476978095663835</v>
      </c>
    </row>
    <row r="30" spans="1:9" ht="14" customHeight="1" x14ac:dyDescent="0.45">
      <c r="A30" s="69" t="s">
        <v>55</v>
      </c>
      <c r="B30" s="114">
        <v>-23.893088552915785</v>
      </c>
      <c r="C30" s="114">
        <v>-6.0173523649594163</v>
      </c>
      <c r="D30" s="114" t="s">
        <v>68</v>
      </c>
      <c r="E30" s="128">
        <v>-14.714494875549079</v>
      </c>
      <c r="F30" s="114">
        <v>11.21202630754774</v>
      </c>
      <c r="G30" s="114">
        <v>-18.996165911467401</v>
      </c>
      <c r="H30" s="128">
        <v>-7.4817023583627407</v>
      </c>
      <c r="I30" s="128">
        <v>-1.7543859649122862</v>
      </c>
    </row>
    <row r="31" spans="1:9" ht="14" customHeight="1" x14ac:dyDescent="0.45">
      <c r="A31" s="1" t="s">
        <v>35</v>
      </c>
      <c r="B31" s="49">
        <v>1.0400616332820078</v>
      </c>
      <c r="C31" s="49">
        <v>5.4791271347248482</v>
      </c>
      <c r="D31" s="49">
        <v>1.2684031710079591</v>
      </c>
      <c r="E31" s="49">
        <v>-10.509325681492122</v>
      </c>
      <c r="F31" s="49">
        <v>-10.084643288996375</v>
      </c>
      <c r="G31" s="49">
        <v>5.5045871559633142</v>
      </c>
      <c r="H31" s="49">
        <v>1.0035122930256213</v>
      </c>
      <c r="I31" s="49">
        <v>-12.67441860465115</v>
      </c>
    </row>
    <row r="32" spans="1:9" ht="14" customHeight="1" x14ac:dyDescent="0.45">
      <c r="A32" s="69" t="s">
        <v>36</v>
      </c>
      <c r="B32" s="128">
        <v>18.397256002494533</v>
      </c>
      <c r="C32" s="128">
        <v>27.059173357121601</v>
      </c>
      <c r="D32" s="114">
        <v>45.03745318352064</v>
      </c>
      <c r="E32" s="114">
        <v>0.83287062742918305</v>
      </c>
      <c r="F32" s="114">
        <v>-19.052155275065495</v>
      </c>
      <c r="G32" s="128">
        <v>3.6289222373806496</v>
      </c>
      <c r="H32" s="128">
        <v>-19.897244278374558</v>
      </c>
      <c r="I32" s="114">
        <v>-17.12662337662335</v>
      </c>
    </row>
    <row r="33" spans="1:25" ht="14" customHeight="1" x14ac:dyDescent="0.45">
      <c r="A33" s="1" t="s">
        <v>37</v>
      </c>
      <c r="B33" s="136">
        <v>-4.3529877324891109</v>
      </c>
      <c r="C33" s="136">
        <v>21.177550485182305</v>
      </c>
      <c r="D33" s="49">
        <v>34.488977955911793</v>
      </c>
      <c r="E33" s="131" t="s">
        <v>68</v>
      </c>
      <c r="F33" s="49">
        <v>29.000000000000025</v>
      </c>
      <c r="G33" s="97">
        <v>16.168224299065372</v>
      </c>
      <c r="H33" s="49">
        <v>45.305770887166204</v>
      </c>
      <c r="I33" s="136">
        <v>23.843800611840948</v>
      </c>
    </row>
    <row r="34" spans="1:25" ht="14" customHeight="1" x14ac:dyDescent="0.45">
      <c r="A34" s="69" t="s">
        <v>51</v>
      </c>
      <c r="B34" s="114" t="s">
        <v>68</v>
      </c>
      <c r="C34" s="128">
        <v>-1.4607069821793939</v>
      </c>
      <c r="D34" s="128">
        <v>9.1782909389286118</v>
      </c>
      <c r="E34" s="128">
        <v>-2.2996204509935336</v>
      </c>
      <c r="F34" s="128">
        <v>4.8694263884137223</v>
      </c>
      <c r="G34" s="128">
        <v>0.73545086335535803</v>
      </c>
      <c r="H34" s="128">
        <v>1.8573797678275383</v>
      </c>
      <c r="I34" s="128">
        <v>0.24096385542169418</v>
      </c>
    </row>
    <row r="35" spans="1:25" ht="14" customHeight="1" x14ac:dyDescent="0.45">
      <c r="A35" s="1" t="s">
        <v>38</v>
      </c>
      <c r="B35" s="97" t="s">
        <v>68</v>
      </c>
      <c r="C35" s="49">
        <v>41.709915323682047</v>
      </c>
      <c r="D35" s="49">
        <v>41.73154780442232</v>
      </c>
      <c r="E35" s="97" t="s">
        <v>68</v>
      </c>
      <c r="F35" s="49">
        <v>16.561743341404345</v>
      </c>
      <c r="G35" s="49">
        <v>47.920650095602355</v>
      </c>
      <c r="H35" s="49">
        <v>54.046360309068689</v>
      </c>
      <c r="I35" s="49">
        <v>16.718106995884785</v>
      </c>
    </row>
    <row r="36" spans="1:25" ht="14" customHeight="1" x14ac:dyDescent="0.45">
      <c r="A36" s="69" t="s">
        <v>39</v>
      </c>
      <c r="B36" s="128">
        <v>8.8809573798026555</v>
      </c>
      <c r="C36" s="128">
        <v>26.673723207197654</v>
      </c>
      <c r="D36" s="128">
        <v>13.281514025008502</v>
      </c>
      <c r="E36" s="128">
        <v>5.3504547886570331</v>
      </c>
      <c r="F36" s="128">
        <v>19.495484272812202</v>
      </c>
      <c r="G36" s="128">
        <v>29.246861924686218</v>
      </c>
      <c r="H36" s="128">
        <v>48.108856088560948</v>
      </c>
      <c r="I36" s="128">
        <v>17.653361907313126</v>
      </c>
    </row>
    <row r="37" spans="1:25" ht="14" customHeight="1" x14ac:dyDescent="0.45">
      <c r="A37" s="1" t="s">
        <v>64</v>
      </c>
      <c r="B37" s="97">
        <v>-1.226309921962121</v>
      </c>
      <c r="C37" s="49">
        <v>4.8717948717948323</v>
      </c>
      <c r="D37" s="49">
        <v>17.154389505549904</v>
      </c>
      <c r="E37" s="97" t="s">
        <v>68</v>
      </c>
      <c r="F37" s="131">
        <v>5.8972733037413239</v>
      </c>
      <c r="G37" s="97">
        <v>31.76555716353111</v>
      </c>
      <c r="H37" s="49">
        <v>-7.8239608801955907</v>
      </c>
      <c r="I37" s="49">
        <v>3.6260623229461997</v>
      </c>
    </row>
    <row r="38" spans="1:25" ht="14" customHeight="1" x14ac:dyDescent="0.45">
      <c r="A38" s="69" t="s">
        <v>65</v>
      </c>
      <c r="B38" s="129">
        <v>82.069795427196169</v>
      </c>
      <c r="C38" s="114">
        <v>224.27258805513017</v>
      </c>
      <c r="D38" s="128">
        <v>78.714859437750917</v>
      </c>
      <c r="E38" s="114">
        <v>75.675675675675677</v>
      </c>
      <c r="F38" s="128">
        <v>50.050864699898277</v>
      </c>
      <c r="G38" s="128">
        <v>43.829981718464353</v>
      </c>
      <c r="H38" s="128">
        <v>36.275460717749809</v>
      </c>
      <c r="I38" s="128">
        <v>50.321941555225337</v>
      </c>
    </row>
    <row r="39" spans="1:25" ht="14" customHeight="1" x14ac:dyDescent="0.45">
      <c r="A39" s="1" t="s">
        <v>40</v>
      </c>
      <c r="B39" s="49">
        <v>-22.257653061224513</v>
      </c>
      <c r="C39" s="49">
        <v>-19.766206163655685</v>
      </c>
      <c r="D39" s="49">
        <v>-17.15347849176846</v>
      </c>
      <c r="E39" s="97">
        <v>-9.7534246575342269</v>
      </c>
      <c r="F39" s="97">
        <v>-3.6036036036036223</v>
      </c>
      <c r="G39" s="97">
        <v>-18.099918099918135</v>
      </c>
      <c r="H39" s="97">
        <v>8.3575581395348486</v>
      </c>
      <c r="I39" s="97">
        <v>-16.770379589296823</v>
      </c>
    </row>
    <row r="40" spans="1:25" ht="14" customHeight="1" x14ac:dyDescent="0.45">
      <c r="A40" s="70" t="s">
        <v>41</v>
      </c>
      <c r="B40" s="138">
        <v>9.4753965026433526</v>
      </c>
      <c r="C40" s="138">
        <v>30.007204610951032</v>
      </c>
      <c r="D40" s="138">
        <v>4.8919226393629112</v>
      </c>
      <c r="E40" s="138">
        <v>14.956011730205287</v>
      </c>
      <c r="F40" s="138">
        <v>-1.8742190753852861</v>
      </c>
      <c r="G40" s="139">
        <v>26.579875237320305</v>
      </c>
      <c r="H40" s="138">
        <v>2.4516737388024623</v>
      </c>
      <c r="I40" s="138">
        <v>7.4571215510799149E-2</v>
      </c>
    </row>
    <row r="41" spans="1:25" ht="14" customHeight="1" x14ac:dyDescent="0.45">
      <c r="A41" s="48" t="s">
        <v>42</v>
      </c>
      <c r="B41" s="48"/>
      <c r="C41" s="48"/>
      <c r="D41" s="48"/>
      <c r="E41" s="48"/>
      <c r="F41" s="48"/>
      <c r="G41" s="48"/>
      <c r="H41" s="48"/>
      <c r="I41" s="48"/>
    </row>
    <row r="42" spans="1:25" ht="14" customHeight="1" x14ac:dyDescent="0.45">
      <c r="A42" s="1" t="s">
        <v>43</v>
      </c>
      <c r="B42" s="131" t="s">
        <v>68</v>
      </c>
      <c r="C42" s="49">
        <v>128.19074333800842</v>
      </c>
      <c r="D42" s="49">
        <v>-40.370705244122952</v>
      </c>
      <c r="E42" s="131" t="s">
        <v>68</v>
      </c>
      <c r="F42" s="49">
        <v>72.804878048780438</v>
      </c>
      <c r="G42" s="49">
        <v>-52.2633744855967</v>
      </c>
      <c r="H42" s="49">
        <v>-36.048965808357949</v>
      </c>
      <c r="I42" s="97">
        <v>0.95902353966870191</v>
      </c>
    </row>
    <row r="43" spans="1:25" ht="14" customHeight="1" x14ac:dyDescent="0.45">
      <c r="A43" s="69" t="s">
        <v>44</v>
      </c>
      <c r="B43" s="128">
        <v>-30.620805369127513</v>
      </c>
      <c r="C43" s="128">
        <v>-51.107121484141224</v>
      </c>
      <c r="D43" s="128">
        <v>-46.858638743455508</v>
      </c>
      <c r="E43" s="128">
        <v>-40.716612377850161</v>
      </c>
      <c r="F43" s="128">
        <v>-55.98141695702671</v>
      </c>
      <c r="G43" s="114">
        <v>-56.175298804780894</v>
      </c>
      <c r="H43" s="128">
        <v>-51.168614357262122</v>
      </c>
      <c r="I43" s="114">
        <v>-41.853932584269657</v>
      </c>
    </row>
    <row r="44" spans="1:25" ht="14" customHeight="1" x14ac:dyDescent="0.45">
      <c r="A44" s="1" t="s">
        <v>52</v>
      </c>
      <c r="B44" s="97">
        <v>20.875029090062846</v>
      </c>
      <c r="C44" s="49">
        <v>21.312540610786314</v>
      </c>
      <c r="D44" s="49">
        <v>56.265442993293391</v>
      </c>
      <c r="E44" s="49">
        <v>21.855844430352999</v>
      </c>
      <c r="F44" s="49">
        <v>20.726434130873471</v>
      </c>
      <c r="G44" s="49">
        <v>29.6494156928214</v>
      </c>
      <c r="H44" s="49">
        <v>8.1175298804780915</v>
      </c>
      <c r="I44" s="49">
        <v>22.923852480764072</v>
      </c>
    </row>
    <row r="45" spans="1:25" ht="14" customHeight="1" x14ac:dyDescent="0.45">
      <c r="A45" s="69" t="s">
        <v>45</v>
      </c>
      <c r="B45" s="128">
        <v>18.120805369127503</v>
      </c>
      <c r="C45" s="128">
        <v>26.001405481377372</v>
      </c>
      <c r="D45" s="128">
        <v>47.161142106990475</v>
      </c>
      <c r="E45" s="128">
        <v>67.328042328042329</v>
      </c>
      <c r="F45" s="128">
        <v>-29.071170084439078</v>
      </c>
      <c r="G45" s="128">
        <v>27.825818406423753</v>
      </c>
      <c r="H45" s="128">
        <v>-27.477134146341442</v>
      </c>
      <c r="I45" s="128">
        <v>-26.852659110723643</v>
      </c>
    </row>
    <row r="46" spans="1:25" x14ac:dyDescent="0.45">
      <c r="A46" s="71" t="s">
        <v>46</v>
      </c>
      <c r="B46" s="134">
        <v>114.16015625</v>
      </c>
      <c r="C46" s="134">
        <v>84.001933301111649</v>
      </c>
      <c r="D46" s="134">
        <v>77.081081081081138</v>
      </c>
      <c r="E46" s="134">
        <v>140.00000000000009</v>
      </c>
      <c r="F46" s="134">
        <v>160.87824351297405</v>
      </c>
      <c r="G46" s="134">
        <v>44.890109890109883</v>
      </c>
      <c r="H46" s="134">
        <v>75.946275946275946</v>
      </c>
      <c r="I46" s="134">
        <v>163.08457711442784</v>
      </c>
    </row>
    <row r="47" spans="1:25" x14ac:dyDescent="0.45">
      <c r="A47" s="1"/>
      <c r="B47" s="49"/>
      <c r="C47" s="49"/>
      <c r="D47" s="49"/>
      <c r="E47" s="49"/>
      <c r="F47" s="49"/>
      <c r="G47" s="49"/>
      <c r="H47" s="49"/>
      <c r="I47" s="49"/>
    </row>
    <row r="48" spans="1:25" s="31" customFormat="1" x14ac:dyDescent="0.45">
      <c r="A48" s="92" t="s">
        <v>62</v>
      </c>
      <c r="B48" s="26"/>
      <c r="C48" s="66"/>
      <c r="D48" s="76"/>
      <c r="E48" s="67"/>
      <c r="F48" s="75"/>
      <c r="G48" s="60"/>
      <c r="H48" s="26"/>
      <c r="I48" s="66"/>
      <c r="J48" s="26"/>
      <c r="K48" s="66"/>
      <c r="L48" s="76"/>
      <c r="M48" s="74"/>
      <c r="N48" s="75"/>
      <c r="O48" s="77"/>
      <c r="P48" s="26"/>
      <c r="Q48" s="66"/>
      <c r="R48" s="29"/>
      <c r="S48" s="30"/>
      <c r="T48" s="29"/>
      <c r="U48" s="30"/>
      <c r="V48" s="29"/>
      <c r="W48" s="30"/>
      <c r="X48" s="29"/>
      <c r="Y48" s="30"/>
    </row>
    <row r="49" spans="1:9" x14ac:dyDescent="0.45">
      <c r="A49" s="50" t="s">
        <v>12</v>
      </c>
      <c r="B49" s="51"/>
      <c r="C49" s="52"/>
      <c r="D49" s="52"/>
      <c r="E49" s="51"/>
      <c r="F49" s="52"/>
      <c r="G49" s="52"/>
      <c r="H49" s="52"/>
      <c r="I49" s="52"/>
    </row>
    <row r="50" spans="1:9" x14ac:dyDescent="0.45">
      <c r="A50" s="53" t="s">
        <v>53</v>
      </c>
      <c r="B50" s="53"/>
      <c r="C50" s="53"/>
      <c r="D50" s="53"/>
      <c r="E50" s="53"/>
      <c r="F50" s="53"/>
      <c r="G50" s="53"/>
      <c r="H50" s="53"/>
      <c r="I50" s="53"/>
    </row>
    <row r="51" spans="1:9" x14ac:dyDescent="0.45">
      <c r="A51" s="54" t="s">
        <v>14</v>
      </c>
      <c r="B51" s="51"/>
      <c r="C51" s="52"/>
      <c r="D51" s="52"/>
      <c r="E51" s="51"/>
      <c r="F51" s="52"/>
      <c r="G51" s="52"/>
      <c r="H51" s="52"/>
      <c r="I51" s="52"/>
    </row>
    <row r="52" spans="1:9" x14ac:dyDescent="0.45">
      <c r="A52" s="55" t="s">
        <v>15</v>
      </c>
      <c r="B52" s="56"/>
      <c r="C52" s="56"/>
      <c r="D52" s="56"/>
      <c r="E52" s="56"/>
      <c r="F52" s="56"/>
      <c r="G52" s="56"/>
      <c r="H52" s="56"/>
      <c r="I52" s="56"/>
    </row>
    <row r="53" spans="1:9" x14ac:dyDescent="0.45">
      <c r="A53" s="5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57" t="str">
        <f>+Índice!A14</f>
        <v>Fecha de actualización: 11 de noviembre de 2025</v>
      </c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55"/>
      <c r="B55" s="6"/>
      <c r="C55" s="7"/>
      <c r="D55" s="6"/>
      <c r="E55" s="7"/>
      <c r="F55" s="6"/>
      <c r="G55" s="7"/>
      <c r="H55" s="6"/>
      <c r="I55" s="7"/>
    </row>
    <row r="56" spans="1:9" x14ac:dyDescent="0.45">
      <c r="A56" s="55"/>
      <c r="B56" s="6"/>
      <c r="C56" s="7"/>
      <c r="D56" s="6"/>
      <c r="E56" s="7"/>
      <c r="F56" s="6"/>
      <c r="G56" s="7"/>
      <c r="H56" s="6"/>
      <c r="I56" s="7"/>
    </row>
    <row r="57" spans="1:9" x14ac:dyDescent="0.45">
      <c r="A57" s="55"/>
      <c r="B57" s="6"/>
      <c r="C57" s="7"/>
      <c r="D57" s="6"/>
      <c r="E57" s="7"/>
      <c r="F57" s="6"/>
      <c r="G57" s="7"/>
      <c r="H57" s="6"/>
      <c r="I57" s="7"/>
    </row>
  </sheetData>
  <mergeCells count="1">
    <mergeCell ref="A4:I5"/>
  </mergeCells>
  <hyperlinks>
    <hyperlink ref="K5" location="Índice!A1" display="Regresar al índice" xr:uid="{49B2056C-9B59-4A7A-82F2-895EA26E484F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1</vt:lpstr>
      <vt:lpstr>2</vt:lpstr>
      <vt:lpstr>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2025-11-03T16:17:08Z</dcterms:modified>
</cp:coreProperties>
</file>