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Z:\Mayoristas\boletines\mensual\2024\Febrero\"/>
    </mc:Choice>
  </mc:AlternateContent>
  <xr:revisionPtr revIDLastSave="0" documentId="13_ncr:1_{00B75639-1122-4015-9A33-3E220241E430}" xr6:coauthVersionLast="47" xr6:coauthVersionMax="47" xr10:uidLastSave="{00000000-0000-0000-0000-000000000000}"/>
  <bookViews>
    <workbookView xWindow="-110" yWindow="-110" windowWidth="19420" windowHeight="10420" tabRatio="815" xr2:uid="{00000000-000D-0000-FFFF-FFFF00000000}"/>
  </bookViews>
  <sheets>
    <sheet name="Índice" sheetId="519" r:id="rId1"/>
    <sheet name="Anexo 1" sheetId="520" r:id="rId2"/>
    <sheet name="Anexo 2" sheetId="521" r:id="rId3"/>
    <sheet name="Anexo 3" sheetId="52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7" i="522" l="1"/>
  <c r="A7" i="521"/>
  <c r="A11" i="519" s="1"/>
  <c r="A7" i="520"/>
  <c r="A12" i="519"/>
  <c r="A79" i="520"/>
  <c r="A52" i="521"/>
  <c r="A52" i="522"/>
  <c r="A10" i="519" l="1"/>
</calcChain>
</file>

<file path=xl/sharedStrings.xml><?xml version="1.0" encoding="utf-8"?>
<sst xmlns="http://schemas.openxmlformats.org/spreadsheetml/2006/main" count="339" uniqueCount="88">
  <si>
    <t>Sistema de Información de Precios y Abastecimiento del Sector Agropecuario -SIPSA- 
Precios Mayoristas</t>
  </si>
  <si>
    <t>Precio $/Kg</t>
  </si>
  <si>
    <t>Barranquilla</t>
  </si>
  <si>
    <t>Bogotá</t>
  </si>
  <si>
    <t>Bucaramanga</t>
  </si>
  <si>
    <t>Cartagena</t>
  </si>
  <si>
    <t>Cali</t>
  </si>
  <si>
    <t>Cúcuta</t>
  </si>
  <si>
    <t>Medellín</t>
  </si>
  <si>
    <t>Pereira</t>
  </si>
  <si>
    <t>Precio</t>
  </si>
  <si>
    <t>Var %</t>
  </si>
  <si>
    <t>*Variedad predominante en el mercado</t>
  </si>
  <si>
    <t>** Los precios reportados para los huevos son $/unidad y los del aceite vegetal mezcla $/litro.</t>
  </si>
  <si>
    <t>n.d.: no disponible</t>
  </si>
  <si>
    <t xml:space="preserve"> -: no es posible calcular la variación</t>
  </si>
  <si>
    <t>Comportamiento de los precios mayoristas de los principales alimentos en las principales ocho ciudades.</t>
  </si>
  <si>
    <t>Hortalizas y verduras</t>
  </si>
  <si>
    <t>Ahuyama</t>
  </si>
  <si>
    <t>Arveja verde en vaina</t>
  </si>
  <si>
    <t>Cebolla cabezona blanca</t>
  </si>
  <si>
    <t>Cebolla junca</t>
  </si>
  <si>
    <t>Chócolo mazorca</t>
  </si>
  <si>
    <t>Habichuela</t>
  </si>
  <si>
    <t>Lechuga Batavia</t>
  </si>
  <si>
    <t>Pepino cohombro</t>
  </si>
  <si>
    <t>Pimentón</t>
  </si>
  <si>
    <t>Remolacha</t>
  </si>
  <si>
    <t>Tomate*</t>
  </si>
  <si>
    <t>Zanahoria</t>
  </si>
  <si>
    <t>Frutas frescas</t>
  </si>
  <si>
    <t>Banano*</t>
  </si>
  <si>
    <t>Coco</t>
  </si>
  <si>
    <t>Granadilla</t>
  </si>
  <si>
    <t>Guayaba pera</t>
  </si>
  <si>
    <t>Lulo</t>
  </si>
  <si>
    <t>Mandarina*</t>
  </si>
  <si>
    <t>Mango Tommy</t>
  </si>
  <si>
    <t>Maracuyá</t>
  </si>
  <si>
    <t>Mora de Castilla</t>
  </si>
  <si>
    <t>Piña *</t>
  </si>
  <si>
    <t>Tomate de árbol</t>
  </si>
  <si>
    <t>Tubérculos y plátanos</t>
  </si>
  <si>
    <t>Arracacha*</t>
  </si>
  <si>
    <t>Papa negra*</t>
  </si>
  <si>
    <t>Plátano hartón verde</t>
  </si>
  <si>
    <t>Yuca*</t>
  </si>
  <si>
    <t>SISTEMA DE INFORMACIÓN DE PRECIOS Y ABASTECIMIENTO DEL SECTOR AGROPECUARIO 
-SIPSA- 
PRECIOS MAYORISTAS</t>
  </si>
  <si>
    <t>Aguacate papelillo</t>
  </si>
  <si>
    <t>Var%: Variación porcentual con respecto al promedio del mes anterior. Dado que la variedad predominante en el mercado puede 
cambiar de un período a otro, las variaciones reportadas pueden obedecer a estos cambios, al igual que el mercado reportado en cada ciudad.</t>
  </si>
  <si>
    <t>Producto</t>
  </si>
  <si>
    <t>Manzana verde importada</t>
  </si>
  <si>
    <t>Papa criolla</t>
  </si>
  <si>
    <t>Var%: Variación porcentual con respecto al promedio del mismo mes del año anterior</t>
  </si>
  <si>
    <t>Var%: Variación porcentual en lo corrido del año</t>
  </si>
  <si>
    <t>Limón Tahití</t>
  </si>
  <si>
    <t>Papaya*</t>
  </si>
  <si>
    <t>Naranja*</t>
  </si>
  <si>
    <t>n.d.</t>
  </si>
  <si>
    <t>-</t>
  </si>
  <si>
    <t>Uva red globe nacional</t>
  </si>
  <si>
    <t>Papa criolla limpia</t>
  </si>
  <si>
    <t>Granos, cárnicos y procesados</t>
  </si>
  <si>
    <t>Arroz de primera</t>
  </si>
  <si>
    <t>Arveja verde seca importada</t>
  </si>
  <si>
    <t>Fríjol seco*</t>
  </si>
  <si>
    <t>Garbanzo importado</t>
  </si>
  <si>
    <t>Lenteja importada</t>
  </si>
  <si>
    <t>Maíz blanco trillado</t>
  </si>
  <si>
    <t>Huevo tipo AA**</t>
  </si>
  <si>
    <t>Queso costeño</t>
  </si>
  <si>
    <t>Pechuga de pollo</t>
  </si>
  <si>
    <t>Aceite vegetal mezcla**</t>
  </si>
  <si>
    <t>Azúcar sulfitada</t>
  </si>
  <si>
    <t>Galletas saladas</t>
  </si>
  <si>
    <t>Harina de trigo</t>
  </si>
  <si>
    <t>Harina precocida de maíz</t>
  </si>
  <si>
    <t>Jugo instantáneo (sobre)</t>
  </si>
  <si>
    <t>Lomitos de atún en lata</t>
  </si>
  <si>
    <t>Margarina</t>
  </si>
  <si>
    <t>Panela*</t>
  </si>
  <si>
    <t>Pastas alimenticias</t>
  </si>
  <si>
    <t>Salsa de tomate doy pack</t>
  </si>
  <si>
    <t>Sardinas en lata</t>
  </si>
  <si>
    <t>Febrero de 2024</t>
  </si>
  <si>
    <t>Fecha de actualización: 8 de marzo de 2024</t>
  </si>
  <si>
    <t>Carne de cerdo, brazo sin hueso</t>
  </si>
  <si>
    <t>Carne de res, bola de pierna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</si>
</sst>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\ _P_t_s_-;\-* #,##0.00\ _P_t_s_-;_-* &quot;-&quot;??\ _P_t_s_-;_-@_-"/>
    <numFmt numFmtId="166" formatCode="_-* #,##0.00\ [$€]_-;\-* #,##0.00\ [$€]_-;_-* &quot;-&quot;??\ [$€]_-;_-@_-"/>
    <numFmt numFmtId="167" formatCode="_(* #,##0_);_(* \(#,##0\);_(* &quot;-&quot;??_);_(@_)"/>
  </numFmts>
  <fonts count="32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9"/>
      <name val="Segoe UI"/>
      <family val="2"/>
    </font>
    <font>
      <b/>
      <sz val="16"/>
      <color theme="0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8"/>
      <name val="Segoe UI"/>
      <family val="2"/>
    </font>
    <font>
      <b/>
      <sz val="8"/>
      <color theme="1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sz val="10"/>
      <color theme="4" tint="-0.249977111117893"/>
      <name val="Segoe UI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1"/>
      <name val="Segoe UI"/>
      <family val="2"/>
    </font>
    <font>
      <b/>
      <sz val="9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8" fillId="20" borderId="4" applyNumberFormat="0" applyAlignment="0" applyProtection="0"/>
    <xf numFmtId="0" fontId="9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4" applyNumberFormat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2" fillId="28" borderId="0" applyNumberFormat="0" applyBorder="0" applyAlignment="0" applyProtection="0"/>
    <xf numFmtId="165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29" borderId="0" applyNumberFormat="0" applyBorder="0" applyAlignment="0" applyProtection="0"/>
    <xf numFmtId="0" fontId="6" fillId="0" borderId="0"/>
    <xf numFmtId="0" fontId="6" fillId="30" borderId="6" applyNumberFormat="0" applyFont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" fillId="20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17" fillId="0" borderId="0" xfId="0" applyFont="1"/>
    <xf numFmtId="0" fontId="19" fillId="33" borderId="0" xfId="0" applyFont="1" applyFill="1" applyAlignment="1">
      <alignment vertical="center"/>
    </xf>
    <xf numFmtId="0" fontId="19" fillId="33" borderId="0" xfId="0" applyFont="1" applyFill="1" applyAlignment="1">
      <alignment vertical="center" wrapText="1"/>
    </xf>
    <xf numFmtId="0" fontId="20" fillId="0" borderId="0" xfId="0" applyFont="1"/>
    <xf numFmtId="167" fontId="21" fillId="0" borderId="2" xfId="33" applyNumberFormat="1" applyFont="1" applyFill="1" applyBorder="1" applyAlignment="1">
      <alignment horizontal="center"/>
    </xf>
    <xf numFmtId="167" fontId="24" fillId="0" borderId="0" xfId="33" applyNumberFormat="1" applyFont="1" applyAlignment="1">
      <alignment horizontal="right"/>
    </xf>
    <xf numFmtId="2" fontId="24" fillId="0" borderId="0" xfId="33" applyNumberFormat="1" applyFont="1" applyAlignment="1">
      <alignment horizontal="right"/>
    </xf>
    <xf numFmtId="0" fontId="22" fillId="0" borderId="0" xfId="0" applyFont="1"/>
    <xf numFmtId="0" fontId="20" fillId="31" borderId="0" xfId="0" applyFont="1" applyFill="1"/>
    <xf numFmtId="0" fontId="28" fillId="31" borderId="0" xfId="0" applyFont="1" applyFill="1" applyAlignment="1">
      <alignment vertical="center"/>
    </xf>
    <xf numFmtId="0" fontId="25" fillId="32" borderId="0" xfId="0" applyFont="1" applyFill="1"/>
    <xf numFmtId="0" fontId="20" fillId="32" borderId="0" xfId="0" applyFont="1" applyFill="1"/>
    <xf numFmtId="0" fontId="19" fillId="31" borderId="0" xfId="0" applyFont="1" applyFill="1"/>
    <xf numFmtId="0" fontId="25" fillId="31" borderId="0" xfId="0" applyFont="1" applyFill="1"/>
    <xf numFmtId="0" fontId="23" fillId="0" borderId="0" xfId="0" applyFont="1"/>
    <xf numFmtId="0" fontId="17" fillId="0" borderId="0" xfId="0" applyFont="1" applyAlignment="1">
      <alignment horizontal="right"/>
    </xf>
    <xf numFmtId="0" fontId="19" fillId="33" borderId="0" xfId="0" applyFont="1" applyFill="1" applyAlignment="1">
      <alignment horizontal="right" vertical="center" wrapText="1"/>
    </xf>
    <xf numFmtId="0" fontId="20" fillId="0" borderId="0" xfId="0" applyFont="1" applyAlignment="1">
      <alignment horizontal="right"/>
    </xf>
    <xf numFmtId="0" fontId="2" fillId="31" borderId="0" xfId="31" quotePrefix="1" applyFill="1" applyBorder="1" applyAlignment="1" applyProtection="1">
      <alignment vertical="center"/>
    </xf>
    <xf numFmtId="4" fontId="21" fillId="0" borderId="2" xfId="33" applyNumberFormat="1" applyFont="1" applyFill="1" applyBorder="1" applyAlignment="1">
      <alignment horizontal="center"/>
    </xf>
    <xf numFmtId="0" fontId="23" fillId="33" borderId="0" xfId="36" applyFont="1" applyFill="1"/>
    <xf numFmtId="3" fontId="24" fillId="33" borderId="0" xfId="34" applyNumberFormat="1" applyFont="1" applyFill="1" applyBorder="1" applyAlignment="1">
      <alignment horizontal="right"/>
    </xf>
    <xf numFmtId="3" fontId="24" fillId="33" borderId="0" xfId="34" applyNumberFormat="1" applyFont="1" applyFill="1" applyBorder="1" applyAlignment="1">
      <alignment horizontal="right" vertical="center"/>
    </xf>
    <xf numFmtId="0" fontId="23" fillId="0" borderId="0" xfId="36" applyFont="1"/>
    <xf numFmtId="3" fontId="24" fillId="0" borderId="0" xfId="34" applyNumberFormat="1" applyFont="1" applyFill="1" applyBorder="1" applyAlignment="1">
      <alignment horizontal="right"/>
    </xf>
    <xf numFmtId="3" fontId="24" fillId="0" borderId="0" xfId="34" applyNumberFormat="1" applyFont="1" applyFill="1" applyBorder="1" applyAlignment="1">
      <alignment horizontal="right" vertical="center"/>
    </xf>
    <xf numFmtId="3" fontId="24" fillId="33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right" vertical="justify"/>
    </xf>
    <xf numFmtId="3" fontId="24" fillId="0" borderId="0" xfId="34" applyNumberFormat="1" applyFont="1" applyFill="1" applyBorder="1" applyAlignment="1">
      <alignment horizontal="center" vertical="center"/>
    </xf>
    <xf numFmtId="0" fontId="23" fillId="0" borderId="2" xfId="36" applyFont="1" applyBorder="1"/>
    <xf numFmtId="3" fontId="24" fillId="0" borderId="2" xfId="34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0" fontId="23" fillId="33" borderId="0" xfId="0" applyFont="1" applyFill="1"/>
    <xf numFmtId="3" fontId="24" fillId="33" borderId="0" xfId="0" applyNumberFormat="1" applyFont="1" applyFill="1" applyAlignment="1">
      <alignment horizontal="right"/>
    </xf>
    <xf numFmtId="167" fontId="24" fillId="0" borderId="0" xfId="34" applyNumberFormat="1" applyFont="1" applyFill="1" applyBorder="1" applyAlignment="1">
      <alignment horizontal="right"/>
    </xf>
    <xf numFmtId="2" fontId="24" fillId="0" borderId="0" xfId="34" applyNumberFormat="1" applyFont="1" applyFill="1" applyBorder="1" applyAlignment="1">
      <alignment horizontal="right"/>
    </xf>
    <xf numFmtId="0" fontId="24" fillId="0" borderId="0" xfId="34" applyNumberFormat="1" applyFont="1" applyFill="1" applyBorder="1" applyAlignment="1">
      <alignment horizontal="right" vertical="center"/>
    </xf>
    <xf numFmtId="0" fontId="20" fillId="0" borderId="0" xfId="36" applyFont="1"/>
    <xf numFmtId="167" fontId="24" fillId="0" borderId="0" xfId="34" applyNumberFormat="1" applyFont="1" applyAlignment="1">
      <alignment horizontal="right"/>
    </xf>
    <xf numFmtId="2" fontId="24" fillId="0" borderId="0" xfId="34" applyNumberFormat="1" applyFont="1" applyAlignment="1">
      <alignment horizontal="right"/>
    </xf>
    <xf numFmtId="0" fontId="23" fillId="0" borderId="0" xfId="36" applyFont="1" applyAlignment="1">
      <alignment vertical="center"/>
    </xf>
    <xf numFmtId="0" fontId="23" fillId="0" borderId="0" xfId="36" applyFont="1" applyAlignment="1">
      <alignment horizontal="right"/>
    </xf>
    <xf numFmtId="2" fontId="23" fillId="0" borderId="0" xfId="34" applyNumberFormat="1" applyFont="1" applyFill="1" applyAlignment="1">
      <alignment horizontal="right"/>
    </xf>
    <xf numFmtId="167" fontId="21" fillId="0" borderId="0" xfId="34" applyNumberFormat="1" applyFont="1" applyFill="1" applyAlignment="1">
      <alignment horizontal="right"/>
    </xf>
    <xf numFmtId="167" fontId="23" fillId="0" borderId="0" xfId="34" applyNumberFormat="1" applyFont="1" applyFill="1" applyAlignment="1">
      <alignment horizontal="right"/>
    </xf>
    <xf numFmtId="2" fontId="21" fillId="0" borderId="0" xfId="34" applyNumberFormat="1" applyFont="1" applyFill="1" applyAlignment="1">
      <alignment horizontal="right"/>
    </xf>
    <xf numFmtId="0" fontId="24" fillId="0" borderId="0" xfId="36" applyFont="1"/>
    <xf numFmtId="0" fontId="17" fillId="0" borderId="0" xfId="43" applyFont="1"/>
    <xf numFmtId="0" fontId="19" fillId="33" borderId="0" xfId="43" applyFont="1" applyFill="1" applyAlignment="1">
      <alignment vertical="center"/>
    </xf>
    <xf numFmtId="0" fontId="29" fillId="33" borderId="0" xfId="43" applyFont="1" applyFill="1" applyAlignment="1">
      <alignment vertical="center" wrapText="1"/>
    </xf>
    <xf numFmtId="0" fontId="29" fillId="0" borderId="1" xfId="43" applyFont="1" applyBorder="1" applyAlignment="1">
      <alignment horizontal="center" vertical="center"/>
    </xf>
    <xf numFmtId="10" fontId="29" fillId="0" borderId="1" xfId="44" applyNumberFormat="1" applyFont="1" applyFill="1" applyBorder="1" applyAlignment="1">
      <alignment horizontal="center"/>
    </xf>
    <xf numFmtId="10" fontId="30" fillId="0" borderId="1" xfId="44" applyNumberFormat="1" applyFont="1" applyFill="1" applyBorder="1" applyAlignment="1">
      <alignment horizontal="center"/>
    </xf>
    <xf numFmtId="0" fontId="20" fillId="0" borderId="0" xfId="43" applyFont="1"/>
    <xf numFmtId="0" fontId="29" fillId="33" borderId="0" xfId="43" applyFont="1" applyFill="1" applyAlignment="1">
      <alignment horizontal="centerContinuous"/>
    </xf>
    <xf numFmtId="4" fontId="31" fillId="0" borderId="0" xfId="33" applyNumberFormat="1" applyFont="1" applyFill="1" applyBorder="1" applyAlignment="1">
      <alignment horizontal="right"/>
    </xf>
    <xf numFmtId="0" fontId="17" fillId="33" borderId="0" xfId="43" applyFont="1" applyFill="1"/>
    <xf numFmtId="4" fontId="31" fillId="33" borderId="0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justify"/>
    </xf>
    <xf numFmtId="4" fontId="31" fillId="0" borderId="0" xfId="33" applyNumberFormat="1" applyFont="1" applyFill="1" applyBorder="1" applyAlignment="1">
      <alignment horizontal="right" vertical="center"/>
    </xf>
    <xf numFmtId="0" fontId="17" fillId="33" borderId="2" xfId="43" applyFont="1" applyFill="1" applyBorder="1"/>
    <xf numFmtId="4" fontId="31" fillId="33" borderId="2" xfId="33" applyNumberFormat="1" applyFont="1" applyFill="1" applyBorder="1" applyAlignment="1">
      <alignment horizontal="right"/>
    </xf>
    <xf numFmtId="4" fontId="31" fillId="33" borderId="0" xfId="33" applyNumberFormat="1" applyFont="1" applyFill="1" applyBorder="1" applyAlignment="1">
      <alignment horizontal="right" vertical="center"/>
    </xf>
    <xf numFmtId="4" fontId="31" fillId="0" borderId="0" xfId="33" applyNumberFormat="1" applyFont="1" applyFill="1" applyBorder="1" applyAlignment="1" applyProtection="1">
      <alignment horizontal="right"/>
    </xf>
    <xf numFmtId="4" fontId="31" fillId="33" borderId="2" xfId="33" applyNumberFormat="1" applyFont="1" applyFill="1" applyBorder="1" applyAlignment="1">
      <alignment horizontal="right" vertical="center"/>
    </xf>
    <xf numFmtId="0" fontId="17" fillId="0" borderId="2" xfId="43" applyFont="1" applyBorder="1"/>
    <xf numFmtId="4" fontId="31" fillId="0" borderId="2" xfId="33" applyNumberFormat="1" applyFont="1" applyFill="1" applyBorder="1" applyAlignment="1">
      <alignment horizontal="right"/>
    </xf>
    <xf numFmtId="0" fontId="23" fillId="0" borderId="0" xfId="43" applyFont="1"/>
    <xf numFmtId="10" fontId="17" fillId="0" borderId="0" xfId="45" applyNumberFormat="1" applyFont="1" applyFill="1" applyAlignment="1">
      <alignment horizontal="right"/>
    </xf>
    <xf numFmtId="10" fontId="29" fillId="0" borderId="0" xfId="45" applyNumberFormat="1" applyFont="1" applyFill="1" applyAlignment="1">
      <alignment horizontal="right"/>
    </xf>
    <xf numFmtId="0" fontId="23" fillId="0" borderId="0" xfId="43" applyFont="1" applyAlignment="1">
      <alignment vertical="center"/>
    </xf>
    <xf numFmtId="0" fontId="23" fillId="0" borderId="0" xfId="43" applyFont="1" applyAlignment="1">
      <alignment horizontal="left"/>
    </xf>
    <xf numFmtId="0" fontId="24" fillId="0" borderId="0" xfId="43" applyFont="1"/>
    <xf numFmtId="10" fontId="24" fillId="0" borderId="0" xfId="45" applyNumberFormat="1" applyFont="1" applyAlignment="1">
      <alignment horizontal="right"/>
    </xf>
    <xf numFmtId="0" fontId="22" fillId="0" borderId="0" xfId="43" applyFont="1"/>
    <xf numFmtId="10" fontId="29" fillId="0" borderId="1" xfId="45" applyNumberFormat="1" applyFont="1" applyFill="1" applyBorder="1" applyAlignment="1">
      <alignment horizontal="center"/>
    </xf>
    <xf numFmtId="10" fontId="30" fillId="0" borderId="1" xfId="45" applyNumberFormat="1" applyFont="1" applyFill="1" applyBorder="1" applyAlignment="1">
      <alignment horizontal="center"/>
    </xf>
    <xf numFmtId="4" fontId="24" fillId="0" borderId="0" xfId="33" applyNumberFormat="1" applyFont="1" applyFill="1" applyBorder="1" applyAlignment="1">
      <alignment horizontal="right"/>
    </xf>
    <xf numFmtId="167" fontId="24" fillId="33" borderId="0" xfId="33" applyNumberFormat="1" applyFont="1" applyFill="1" applyBorder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4" fontId="31" fillId="33" borderId="2" xfId="33" applyNumberFormat="1" applyFont="1" applyFill="1" applyBorder="1" applyAlignment="1">
      <alignment horizontal="right" vertical="justify"/>
    </xf>
    <xf numFmtId="0" fontId="24" fillId="33" borderId="0" xfId="34" applyNumberFormat="1" applyFont="1" applyFill="1" applyBorder="1" applyAlignment="1">
      <alignment horizontal="right" vertical="center"/>
    </xf>
    <xf numFmtId="4" fontId="24" fillId="33" borderId="0" xfId="34" applyNumberFormat="1" applyFont="1" applyFill="1" applyBorder="1" applyAlignment="1">
      <alignment horizontal="right"/>
    </xf>
    <xf numFmtId="4" fontId="24" fillId="33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 vertical="center"/>
    </xf>
    <xf numFmtId="4" fontId="24" fillId="0" borderId="0" xfId="34" applyNumberFormat="1" applyFont="1" applyFill="1" applyBorder="1" applyAlignment="1">
      <alignment horizontal="right"/>
    </xf>
    <xf numFmtId="4" fontId="24" fillId="0" borderId="2" xfId="34" applyNumberFormat="1" applyFont="1" applyFill="1" applyBorder="1" applyAlignment="1">
      <alignment horizontal="right"/>
    </xf>
    <xf numFmtId="4" fontId="24" fillId="0" borderId="0" xfId="34" applyNumberFormat="1" applyFont="1" applyFill="1" applyBorder="1" applyAlignment="1">
      <alignment horizontal="right" vertical="justify"/>
    </xf>
    <xf numFmtId="4" fontId="24" fillId="33" borderId="0" xfId="0" applyNumberFormat="1" applyFont="1" applyFill="1" applyAlignment="1">
      <alignment horizontal="right"/>
    </xf>
    <xf numFmtId="4" fontId="24" fillId="0" borderId="0" xfId="0" applyNumberFormat="1" applyFont="1" applyAlignment="1">
      <alignment horizontal="right"/>
    </xf>
    <xf numFmtId="4" fontId="24" fillId="33" borderId="0" xfId="0" applyNumberFormat="1" applyFont="1" applyFill="1" applyAlignment="1">
      <alignment horizontal="right" vertical="center"/>
    </xf>
    <xf numFmtId="4" fontId="24" fillId="0" borderId="0" xfId="0" applyNumberFormat="1" applyFont="1" applyAlignment="1">
      <alignment horizontal="right" vertical="center"/>
    </xf>
    <xf numFmtId="0" fontId="20" fillId="0" borderId="0" xfId="36" applyFont="1" applyAlignment="1">
      <alignment horizontal="right"/>
    </xf>
    <xf numFmtId="3" fontId="24" fillId="0" borderId="2" xfId="34" applyNumberFormat="1" applyFont="1" applyFill="1" applyBorder="1" applyAlignment="1">
      <alignment horizontal="right" vertical="center"/>
    </xf>
    <xf numFmtId="3" fontId="24" fillId="33" borderId="0" xfId="0" applyNumberFormat="1" applyFont="1" applyFill="1" applyAlignment="1">
      <alignment horizontal="center" vertical="center"/>
    </xf>
    <xf numFmtId="0" fontId="17" fillId="33" borderId="0" xfId="0" applyFont="1" applyFill="1"/>
    <xf numFmtId="0" fontId="17" fillId="33" borderId="2" xfId="0" applyFont="1" applyFill="1" applyBorder="1"/>
    <xf numFmtId="0" fontId="17" fillId="0" borderId="2" xfId="0" applyFont="1" applyBorder="1"/>
    <xf numFmtId="0" fontId="17" fillId="0" borderId="0" xfId="36" applyFont="1"/>
    <xf numFmtId="0" fontId="24" fillId="0" borderId="0" xfId="34" applyNumberFormat="1" applyFont="1" applyFill="1" applyBorder="1" applyAlignment="1">
      <alignment horizontal="right"/>
    </xf>
    <xf numFmtId="0" fontId="20" fillId="31" borderId="0" xfId="36" applyFont="1" applyFill="1"/>
    <xf numFmtId="0" fontId="24" fillId="33" borderId="0" xfId="0" applyFont="1" applyFill="1" applyAlignment="1">
      <alignment horizontal="right" vertical="center"/>
    </xf>
    <xf numFmtId="3" fontId="24" fillId="33" borderId="0" xfId="34" applyNumberFormat="1" applyFont="1" applyFill="1" applyBorder="1" applyAlignment="1">
      <alignment horizontal="right" vertical="justify"/>
    </xf>
    <xf numFmtId="4" fontId="24" fillId="33" borderId="0" xfId="34" applyNumberFormat="1" applyFont="1" applyFill="1" applyBorder="1" applyAlignment="1">
      <alignment horizontal="right" vertical="justify"/>
    </xf>
    <xf numFmtId="3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right" vertical="center"/>
    </xf>
    <xf numFmtId="4" fontId="24" fillId="0" borderId="2" xfId="34" applyNumberFormat="1" applyFont="1" applyFill="1" applyBorder="1" applyAlignment="1">
      <alignment horizontal="right" vertical="center"/>
    </xf>
    <xf numFmtId="3" fontId="24" fillId="0" borderId="0" xfId="34" applyNumberFormat="1" applyFont="1" applyFill="1" applyBorder="1" applyAlignment="1">
      <alignment horizontal="center" vertical="justify"/>
    </xf>
    <xf numFmtId="3" fontId="24" fillId="0" borderId="0" xfId="0" applyNumberFormat="1" applyFont="1" applyAlignment="1">
      <alignment horizontal="center"/>
    </xf>
    <xf numFmtId="3" fontId="24" fillId="33" borderId="0" xfId="0" applyNumberFormat="1" applyFont="1" applyFill="1" applyAlignment="1">
      <alignment horizontal="center"/>
    </xf>
    <xf numFmtId="3" fontId="24" fillId="0" borderId="0" xfId="0" applyNumberFormat="1" applyFont="1" applyAlignment="1">
      <alignment horizontal="right" vertical="center"/>
    </xf>
    <xf numFmtId="4" fontId="24" fillId="0" borderId="0" xfId="0" applyNumberFormat="1" applyFont="1" applyAlignment="1">
      <alignment horizontal="center"/>
    </xf>
    <xf numFmtId="2" fontId="24" fillId="33" borderId="0" xfId="34" applyNumberFormat="1" applyFont="1" applyFill="1" applyBorder="1" applyAlignment="1">
      <alignment horizontal="center" vertical="center"/>
    </xf>
    <xf numFmtId="2" fontId="24" fillId="0" borderId="0" xfId="34" applyNumberFormat="1" applyFont="1" applyFill="1" applyBorder="1" applyAlignment="1">
      <alignment horizontal="center" vertical="center"/>
    </xf>
    <xf numFmtId="2" fontId="24" fillId="0" borderId="2" xfId="34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3" fontId="24" fillId="33" borderId="0" xfId="0" applyNumberFormat="1" applyFont="1" applyFill="1" applyAlignment="1">
      <alignment horizontal="right" vertical="center"/>
    </xf>
    <xf numFmtId="0" fontId="21" fillId="33" borderId="3" xfId="0" applyFont="1" applyFill="1" applyBorder="1" applyAlignment="1">
      <alignment horizontal="centerContinuous"/>
    </xf>
    <xf numFmtId="4" fontId="21" fillId="33" borderId="3" xfId="0" applyNumberFormat="1" applyFont="1" applyFill="1" applyBorder="1" applyAlignment="1">
      <alignment horizontal="centerContinuous"/>
    </xf>
    <xf numFmtId="0" fontId="21" fillId="32" borderId="9" xfId="0" applyFont="1" applyFill="1" applyBorder="1" applyAlignment="1">
      <alignment horizontal="centerContinuous"/>
    </xf>
    <xf numFmtId="0" fontId="21" fillId="32" borderId="1" xfId="0" applyFont="1" applyFill="1" applyBorder="1" applyAlignment="1">
      <alignment horizontal="centerContinuous"/>
    </xf>
    <xf numFmtId="4" fontId="21" fillId="32" borderId="1" xfId="0" applyNumberFormat="1" applyFont="1" applyFill="1" applyBorder="1" applyAlignment="1">
      <alignment horizontal="centerContinuous"/>
    </xf>
    <xf numFmtId="4" fontId="31" fillId="33" borderId="0" xfId="33" applyNumberFormat="1" applyFont="1" applyFill="1" applyBorder="1" applyAlignment="1">
      <alignment horizontal="center" vertical="center"/>
    </xf>
    <xf numFmtId="2" fontId="24" fillId="33" borderId="0" xfId="0" applyNumberFormat="1" applyFont="1" applyFill="1" applyAlignment="1">
      <alignment horizontal="right" vertical="center"/>
    </xf>
    <xf numFmtId="4" fontId="31" fillId="0" borderId="0" xfId="33" applyNumberFormat="1" applyFont="1" applyFill="1" applyBorder="1" applyAlignment="1">
      <alignment horizontal="center" vertical="center"/>
    </xf>
    <xf numFmtId="2" fontId="24" fillId="0" borderId="0" xfId="0" applyNumberFormat="1" applyFont="1" applyAlignment="1">
      <alignment horizontal="right" vertical="center"/>
    </xf>
    <xf numFmtId="4" fontId="31" fillId="33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center"/>
    </xf>
    <xf numFmtId="4" fontId="31" fillId="0" borderId="0" xfId="33" applyNumberFormat="1" applyFont="1" applyFill="1" applyBorder="1" applyAlignment="1" applyProtection="1">
      <alignment horizontal="center" vertical="center"/>
    </xf>
    <xf numFmtId="4" fontId="31" fillId="33" borderId="0" xfId="33" applyNumberFormat="1" applyFont="1" applyFill="1" applyBorder="1" applyAlignment="1" applyProtection="1">
      <alignment horizontal="right" vertical="justify"/>
    </xf>
    <xf numFmtId="4" fontId="31" fillId="0" borderId="0" xfId="33" applyNumberFormat="1" applyFont="1" applyFill="1" applyBorder="1" applyAlignment="1" applyProtection="1">
      <alignment horizontal="right" vertical="center"/>
    </xf>
    <xf numFmtId="0" fontId="24" fillId="0" borderId="0" xfId="0" applyFont="1"/>
    <xf numFmtId="164" fontId="24" fillId="0" borderId="0" xfId="34" applyFont="1" applyFill="1" applyBorder="1" applyAlignment="1">
      <alignment horizontal="right"/>
    </xf>
    <xf numFmtId="164" fontId="24" fillId="0" borderId="0" xfId="34" applyFont="1" applyAlignment="1">
      <alignment horizontal="right"/>
    </xf>
    <xf numFmtId="0" fontId="24" fillId="0" borderId="0" xfId="34" applyNumberFormat="1" applyFont="1" applyFill="1" applyBorder="1" applyAlignment="1">
      <alignment horizontal="center" vertical="center"/>
    </xf>
    <xf numFmtId="3" fontId="24" fillId="0" borderId="0" xfId="34" applyNumberFormat="1" applyFont="1" applyFill="1" applyBorder="1" applyAlignment="1">
      <alignment horizontal="center"/>
    </xf>
    <xf numFmtId="0" fontId="27" fillId="32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/>
    </xf>
    <xf numFmtId="0" fontId="26" fillId="34" borderId="0" xfId="0" applyFont="1" applyFill="1" applyAlignment="1">
      <alignment horizontal="center" vertical="center" wrapText="1"/>
    </xf>
    <xf numFmtId="0" fontId="23" fillId="0" borderId="0" xfId="36" applyFont="1" applyAlignment="1">
      <alignment horizontal="left" vertical="center" wrapText="1"/>
    </xf>
    <xf numFmtId="0" fontId="23" fillId="0" borderId="0" xfId="36" applyFont="1" applyAlignment="1">
      <alignment horizontal="left" vertical="center"/>
    </xf>
    <xf numFmtId="0" fontId="18" fillId="34" borderId="0" xfId="0" applyFont="1" applyFill="1" applyAlignment="1">
      <alignment horizontal="center" vertical="center" wrapText="1"/>
    </xf>
    <xf numFmtId="167" fontId="22" fillId="0" borderId="1" xfId="33" applyNumberFormat="1" applyFont="1" applyFill="1" applyBorder="1" applyAlignment="1">
      <alignment horizontal="center"/>
    </xf>
    <xf numFmtId="167" fontId="21" fillId="0" borderId="1" xfId="33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8" fillId="34" borderId="0" xfId="43" applyFont="1" applyFill="1" applyAlignment="1">
      <alignment horizontal="center" vertical="center" wrapText="1"/>
    </xf>
    <xf numFmtId="4" fontId="24" fillId="0" borderId="2" xfId="34" applyNumberFormat="1" applyFont="1" applyFill="1" applyBorder="1" applyAlignment="1">
      <alignment horizontal="center"/>
    </xf>
    <xf numFmtId="3" fontId="24" fillId="33" borderId="0" xfId="34" applyNumberFormat="1" applyFont="1" applyFill="1" applyBorder="1" applyAlignment="1">
      <alignment vertical="center"/>
    </xf>
    <xf numFmtId="2" fontId="24" fillId="33" borderId="0" xfId="34" applyNumberFormat="1" applyFont="1" applyFill="1" applyBorder="1" applyAlignment="1">
      <alignment vertical="center"/>
    </xf>
    <xf numFmtId="3" fontId="24" fillId="0" borderId="0" xfId="34" applyNumberFormat="1" applyFont="1" applyFill="1" applyBorder="1" applyAlignment="1">
      <alignment vertical="center"/>
    </xf>
    <xf numFmtId="2" fontId="24" fillId="0" borderId="0" xfId="34" applyNumberFormat="1" applyFont="1" applyFill="1" applyBorder="1" applyAlignment="1">
      <alignment vertical="center"/>
    </xf>
    <xf numFmtId="2" fontId="24" fillId="0" borderId="0" xfId="34" applyNumberFormat="1" applyFont="1" applyFill="1" applyBorder="1" applyAlignment="1">
      <alignment horizontal="right" vertical="center"/>
    </xf>
    <xf numFmtId="2" fontId="24" fillId="0" borderId="2" xfId="34" applyNumberFormat="1" applyFont="1" applyFill="1" applyBorder="1" applyAlignment="1">
      <alignment horizontal="right" vertical="center"/>
    </xf>
    <xf numFmtId="4" fontId="24" fillId="0" borderId="0" xfId="0" applyNumberFormat="1" applyFont="1" applyAlignment="1">
      <alignment horizontal="center" vertical="center"/>
    </xf>
    <xf numFmtId="4" fontId="24" fillId="33" borderId="0" xfId="0" applyNumberFormat="1" applyFont="1" applyFill="1" applyAlignment="1">
      <alignment horizontal="center" vertical="center"/>
    </xf>
    <xf numFmtId="0" fontId="23" fillId="0" borderId="2" xfId="0" applyFont="1" applyBorder="1"/>
    <xf numFmtId="3" fontId="24" fillId="0" borderId="2" xfId="0" applyNumberFormat="1" applyFont="1" applyBorder="1" applyAlignment="1">
      <alignment horizontal="right"/>
    </xf>
    <xf numFmtId="4" fontId="24" fillId="0" borderId="2" xfId="0" applyNumberFormat="1" applyFont="1" applyBorder="1" applyAlignment="1">
      <alignment horizontal="right"/>
    </xf>
    <xf numFmtId="3" fontId="24" fillId="0" borderId="2" xfId="0" applyNumberFormat="1" applyFont="1" applyBorder="1" applyAlignment="1">
      <alignment horizontal="right" vertical="center"/>
    </xf>
    <xf numFmtId="4" fontId="24" fillId="0" borderId="2" xfId="0" applyNumberFormat="1" applyFont="1" applyBorder="1" applyAlignment="1">
      <alignment horizontal="right" vertical="center"/>
    </xf>
    <xf numFmtId="3" fontId="24" fillId="0" borderId="2" xfId="0" applyNumberFormat="1" applyFont="1" applyBorder="1" applyAlignment="1">
      <alignment horizontal="center"/>
    </xf>
    <xf numFmtId="2" fontId="24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right" vertical="center"/>
    </xf>
    <xf numFmtId="2" fontId="24" fillId="0" borderId="2" xfId="0" applyNumberFormat="1" applyFont="1" applyBorder="1" applyAlignment="1">
      <alignment horizontal="right" vertical="center"/>
    </xf>
    <xf numFmtId="4" fontId="29" fillId="33" borderId="0" xfId="33" applyNumberFormat="1" applyFont="1" applyFill="1" applyBorder="1" applyAlignment="1">
      <alignment horizontal="right"/>
    </xf>
  </cellXfs>
  <cellStyles count="46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2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1C000000}"/>
    <cellStyle name="Euro 2" xfId="30" xr:uid="{00000000-0005-0000-0000-00001D000000}"/>
    <cellStyle name="Hipervínculo" xfId="31" builtinId="8"/>
    <cellStyle name="Incorrecto" xfId="32" builtinId="27" customBuiltin="1"/>
    <cellStyle name="Millares" xfId="33" builtinId="3"/>
    <cellStyle name="Millares 2" xfId="34" xr:uid="{00000000-0005-0000-0000-000021000000}"/>
    <cellStyle name="Neutral" xfId="35" builtinId="28" customBuiltin="1"/>
    <cellStyle name="Normal" xfId="0" builtinId="0"/>
    <cellStyle name="Normal 2" xfId="36" xr:uid="{00000000-0005-0000-0000-000024000000}"/>
    <cellStyle name="Normal 3" xfId="43" xr:uid="{674C42A4-B064-4353-9D04-968834AD136F}"/>
    <cellStyle name="Notas 2" xfId="37" xr:uid="{00000000-0005-0000-0000-000025000000}"/>
    <cellStyle name="Porcentaje 2" xfId="38" xr:uid="{00000000-0005-0000-0000-000026000000}"/>
    <cellStyle name="Porcentaje 2 2" xfId="45" xr:uid="{D14C4C04-AF22-4D25-B65E-B19B91AE0366}"/>
    <cellStyle name="Porcentaje 3" xfId="39" xr:uid="{00000000-0005-0000-0000-000027000000}"/>
    <cellStyle name="Porcentaje 4" xfId="44" xr:uid="{CF6C299B-C562-4F38-84BF-B1724B9C16BA}"/>
    <cellStyle name="Salida 2" xfId="40" xr:uid="{00000000-0005-0000-0000-000029000000}"/>
    <cellStyle name="Título" xfId="41" builtinId="15" customBuiltin="1"/>
    <cellStyle name="Total" xfId="42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117923</xdr:colOff>
      <xdr:row>0</xdr:row>
      <xdr:rowOff>117922</xdr:rowOff>
    </xdr:from>
    <xdr:to>
      <xdr:col>11</xdr:col>
      <xdr:colOff>794799</xdr:colOff>
      <xdr:row>3</xdr:row>
      <xdr:rowOff>226786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6F869A5-040C-A07A-895E-A02D15904AB2}"/>
            </a:ext>
          </a:extLst>
        </xdr:cNvPr>
        <xdr:cNvGrpSpPr/>
      </xdr:nvGrpSpPr>
      <xdr:grpSpPr>
        <a:xfrm>
          <a:off x="117923" y="117922"/>
          <a:ext cx="9276590" cy="952507"/>
          <a:chOff x="117923" y="117922"/>
          <a:chExt cx="9276590" cy="952507"/>
        </a:xfrm>
      </xdr:grpSpPr>
      <xdr:pic>
        <xdr:nvPicPr>
          <xdr:cNvPr id="7" name="Imagen 12">
            <a:extLst>
              <a:ext uri="{FF2B5EF4-FFF2-40B4-BE49-F238E27FC236}">
                <a16:creationId xmlns:a16="http://schemas.microsoft.com/office/drawing/2014/main" id="{EC5C623D-E846-7844-B31F-7ED4E0C818E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6C708EB2-DBDC-7983-BB8E-AA47F03ADFF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1" name="Imagen 17">
            <a:extLst>
              <a:ext uri="{FF2B5EF4-FFF2-40B4-BE49-F238E27FC236}">
                <a16:creationId xmlns:a16="http://schemas.microsoft.com/office/drawing/2014/main" id="{C2267695-EF5B-4C04-A0D5-31E4797E5AD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104588</xdr:colOff>
      <xdr:row>0</xdr:row>
      <xdr:rowOff>112058</xdr:rowOff>
    </xdr:from>
    <xdr:to>
      <xdr:col>16</xdr:col>
      <xdr:colOff>371649</xdr:colOff>
      <xdr:row>2</xdr:row>
      <xdr:rowOff>459447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9FB54041-51D8-4BD6-BBB9-7DD6309018B8}"/>
            </a:ext>
          </a:extLst>
        </xdr:cNvPr>
        <xdr:cNvGrpSpPr/>
      </xdr:nvGrpSpPr>
      <xdr:grpSpPr>
        <a:xfrm>
          <a:off x="104588" y="112058"/>
          <a:ext cx="9276590" cy="952507"/>
          <a:chOff x="117923" y="117922"/>
          <a:chExt cx="9276590" cy="952507"/>
        </a:xfrm>
      </xdr:grpSpPr>
      <xdr:pic>
        <xdr:nvPicPr>
          <xdr:cNvPr id="6" name="Imagen 12">
            <a:extLst>
              <a:ext uri="{FF2B5EF4-FFF2-40B4-BE49-F238E27FC236}">
                <a16:creationId xmlns:a16="http://schemas.microsoft.com/office/drawing/2014/main" id="{5A36D389-2E3D-D7C7-A7A3-BBD70601280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" name="Imagen 17">
            <a:extLst>
              <a:ext uri="{FF2B5EF4-FFF2-40B4-BE49-F238E27FC236}">
                <a16:creationId xmlns:a16="http://schemas.microsoft.com/office/drawing/2014/main" id="{3DED9682-B4FD-F0E7-2B10-7115A8D1CCC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8" name="Imagen 17">
            <a:extLst>
              <a:ext uri="{FF2B5EF4-FFF2-40B4-BE49-F238E27FC236}">
                <a16:creationId xmlns:a16="http://schemas.microsoft.com/office/drawing/2014/main" id="{C603BE59-7FB2-9130-FC01-28DCC9F625D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82550</xdr:rowOff>
    </xdr:from>
    <xdr:to>
      <xdr:col>9</xdr:col>
      <xdr:colOff>31750</xdr:colOff>
      <xdr:row>2</xdr:row>
      <xdr:rowOff>231605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4AD5341D-277B-4E5A-A250-7FF3DAB63E31}"/>
            </a:ext>
          </a:extLst>
        </xdr:cNvPr>
        <xdr:cNvGrpSpPr>
          <a:grpSpLocks noChangeAspect="1"/>
        </xdr:cNvGrpSpPr>
      </xdr:nvGrpSpPr>
      <xdr:grpSpPr>
        <a:xfrm>
          <a:off x="25400" y="82550"/>
          <a:ext cx="7744279" cy="793126"/>
          <a:chOff x="117923" y="117922"/>
          <a:chExt cx="9276590" cy="952507"/>
        </a:xfrm>
      </xdr:grpSpPr>
      <xdr:pic>
        <xdr:nvPicPr>
          <xdr:cNvPr id="8" name="Imagen 12">
            <a:extLst>
              <a:ext uri="{FF2B5EF4-FFF2-40B4-BE49-F238E27FC236}">
                <a16:creationId xmlns:a16="http://schemas.microsoft.com/office/drawing/2014/main" id="{2EED3DA3-D9D1-F5AC-8C3F-95B31FE8E9D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9" name="Imagen 17">
            <a:extLst>
              <a:ext uri="{FF2B5EF4-FFF2-40B4-BE49-F238E27FC236}">
                <a16:creationId xmlns:a16="http://schemas.microsoft.com/office/drawing/2014/main" id="{A10EFA9F-8DCD-3A34-28E2-39F02B0C08A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0" name="Imagen 17">
            <a:extLst>
              <a:ext uri="{FF2B5EF4-FFF2-40B4-BE49-F238E27FC236}">
                <a16:creationId xmlns:a16="http://schemas.microsoft.com/office/drawing/2014/main" id="{E8063692-60C0-AB45-F120-E52658D44A3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95250</xdr:rowOff>
    </xdr:from>
    <xdr:to>
      <xdr:col>9</xdr:col>
      <xdr:colOff>6350</xdr:colOff>
      <xdr:row>2</xdr:row>
      <xdr:rowOff>237955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D6741C9D-BFC4-4D3D-ACA4-758A8756284A}"/>
            </a:ext>
          </a:extLst>
        </xdr:cNvPr>
        <xdr:cNvGrpSpPr>
          <a:grpSpLocks noChangeAspect="1"/>
        </xdr:cNvGrpSpPr>
      </xdr:nvGrpSpPr>
      <xdr:grpSpPr>
        <a:xfrm>
          <a:off x="0" y="95250"/>
          <a:ext cx="7759700" cy="796755"/>
          <a:chOff x="117923" y="117922"/>
          <a:chExt cx="9276590" cy="952507"/>
        </a:xfrm>
      </xdr:grpSpPr>
      <xdr:pic>
        <xdr:nvPicPr>
          <xdr:cNvPr id="12" name="Imagen 12">
            <a:extLst>
              <a:ext uri="{FF2B5EF4-FFF2-40B4-BE49-F238E27FC236}">
                <a16:creationId xmlns:a16="http://schemas.microsoft.com/office/drawing/2014/main" id="{94CFBC04-A8B5-CFA4-DB15-DAB1CC7293C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815" t="45454" r="978" b="19910"/>
          <a:stretch>
            <a:fillRect/>
          </a:stretch>
        </xdr:blipFill>
        <xdr:spPr bwMode="auto">
          <a:xfrm>
            <a:off x="117923" y="1020733"/>
            <a:ext cx="9276590" cy="496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3" name="Imagen 17">
            <a:extLst>
              <a:ext uri="{FF2B5EF4-FFF2-40B4-BE49-F238E27FC236}">
                <a16:creationId xmlns:a16="http://schemas.microsoft.com/office/drawing/2014/main" id="{60EA8724-E23F-B333-91F3-EAD0B5C0C7C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6568" y="117922"/>
            <a:ext cx="1762635" cy="58807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17">
            <a:extLst>
              <a:ext uri="{FF2B5EF4-FFF2-40B4-BE49-F238E27FC236}">
                <a16:creationId xmlns:a16="http://schemas.microsoft.com/office/drawing/2014/main" id="{5FF1FA69-5445-F33D-7F14-CBD60944602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76143" y="126997"/>
            <a:ext cx="1758581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19"/>
  <sheetViews>
    <sheetView showGridLines="0" tabSelected="1" zoomScale="70" zoomScaleNormal="70" workbookViewId="0">
      <selection activeCell="A15" sqref="A15"/>
    </sheetView>
  </sheetViews>
  <sheetFormatPr baseColWidth="10" defaultColWidth="11.453125" defaultRowHeight="16" x14ac:dyDescent="0.45"/>
  <cols>
    <col min="1" max="1" width="6.26953125" style="14" customWidth="1"/>
    <col min="2" max="2" width="11.453125" style="9"/>
    <col min="3" max="3" width="14" style="9" customWidth="1"/>
    <col min="4" max="16384" width="11.453125" style="9"/>
  </cols>
  <sheetData>
    <row r="1" spans="1:14" ht="22" customHeight="1" x14ac:dyDescent="0.45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</row>
    <row r="2" spans="1:14" ht="22" customHeight="1" x14ac:dyDescent="0.45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1:14" ht="22" customHeight="1" x14ac:dyDescent="0.45">
      <c r="A3" s="140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N3" s="4"/>
    </row>
    <row r="4" spans="1:14" ht="22" customHeight="1" x14ac:dyDescent="0.45">
      <c r="A4" s="140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</row>
    <row r="5" spans="1:14" ht="36" customHeight="1" x14ac:dyDescent="0.45">
      <c r="A5" s="141" t="s">
        <v>47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</row>
    <row r="6" spans="1:14" ht="31.5" customHeight="1" x14ac:dyDescent="0.45">
      <c r="A6" s="141"/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</row>
    <row r="7" spans="1:14" x14ac:dyDescent="0.45">
      <c r="A7" s="139" t="s">
        <v>84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</row>
    <row r="8" spans="1:14" ht="15" customHeight="1" x14ac:dyDescent="0.45">
      <c r="A8" s="139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</row>
    <row r="9" spans="1:14" x14ac:dyDescent="0.45">
      <c r="A9" s="139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</row>
    <row r="10" spans="1:14" s="10" customFormat="1" ht="31.5" customHeight="1" x14ac:dyDescent="0.25">
      <c r="A10" s="19" t="str">
        <f>+"Anexo 1. "&amp;'Anexo 1'!A6&amp;" "&amp;'Anexo 1'!A7</f>
        <v>Anexo 1. Comportamiento de los precios mayoristas de los principales alimentos en las principales ocho ciudades. Variación mensual. Febrero de 2024</v>
      </c>
    </row>
    <row r="11" spans="1:14" s="10" customFormat="1" ht="31.5" customHeight="1" x14ac:dyDescent="0.25">
      <c r="A11" s="19" t="str">
        <f>+"Anexo 2. "&amp;'Anexo 2'!A6&amp;" "&amp;'Anexo 2'!A7</f>
        <v>Anexo 2. Comportamiento de los precios mayoristas de los principales alimentos en las principales ocho ciudades. Variación año corrido. Febrero de 2024</v>
      </c>
    </row>
    <row r="12" spans="1:14" s="10" customFormat="1" ht="31.5" customHeight="1" x14ac:dyDescent="0.25">
      <c r="A12" s="19" t="str">
        <f>+"Anexo 3. "&amp;'Anexo 3'!A6&amp;" "&amp;'Anexo 3'!A7</f>
        <v>Anexo 3. Comportamiento de los precios mayoristas de los principales alimentos en las principales ocho ciudades. Variación anual. Febrero de 2024</v>
      </c>
    </row>
    <row r="13" spans="1:14" x14ac:dyDescent="0.4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4" ht="18.75" customHeight="1" x14ac:dyDescent="0.45">
      <c r="A14" s="13" t="s">
        <v>85</v>
      </c>
    </row>
    <row r="15" spans="1:14" s="4" customFormat="1" ht="30" customHeight="1" x14ac:dyDescent="0.45"/>
    <row r="16" spans="1:14" s="4" customFormat="1" ht="32.25" customHeight="1" x14ac:dyDescent="0.45"/>
    <row r="17" spans="1:1" s="4" customFormat="1" ht="34.5" customHeight="1" x14ac:dyDescent="0.45"/>
    <row r="18" spans="1:1" s="4" customFormat="1" x14ac:dyDescent="0.45"/>
    <row r="19" spans="1:1" x14ac:dyDescent="0.45">
      <c r="A19" s="9"/>
    </row>
  </sheetData>
  <mergeCells count="3">
    <mergeCell ref="A7:L9"/>
    <mergeCell ref="A1:L4"/>
    <mergeCell ref="A5:L6"/>
  </mergeCells>
  <phoneticPr fontId="3" type="noConversion"/>
  <hyperlinks>
    <hyperlink ref="A10" location="'Anexo 1'!A1" display="'Anexo 1'!A1" xr:uid="{00000000-0004-0000-0000-000000000000}"/>
    <hyperlink ref="A11" location="'Anexo 1'!A1" display="'Anexo 1'!A1" xr:uid="{549AA18A-F416-4462-A600-6B2E456340C2}"/>
    <hyperlink ref="A12" location="'Anexo 1'!A1" display="'Anexo 1'!A1" xr:uid="{0B4092F7-A9A7-4AEB-82ED-D56014BF70B6}"/>
  </hyperlinks>
  <pageMargins left="0.7" right="0.7" top="0.75" bottom="0.75" header="0.3" footer="0.3"/>
  <pageSetup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9"/>
  <sheetViews>
    <sheetView showGridLines="0" zoomScale="85" zoomScaleNormal="85" workbookViewId="0">
      <selection activeCell="A6" sqref="A6"/>
    </sheetView>
  </sheetViews>
  <sheetFormatPr baseColWidth="10" defaultColWidth="11.453125" defaultRowHeight="16" x14ac:dyDescent="0.45"/>
  <cols>
    <col min="1" max="1" width="24.453125" style="4" customWidth="1"/>
    <col min="2" max="2" width="7.1796875" style="4" customWidth="1"/>
    <col min="3" max="3" width="6.7265625" style="18" customWidth="1"/>
    <col min="4" max="4" width="7.1796875" style="4" customWidth="1"/>
    <col min="5" max="5" width="6.7265625" style="18" customWidth="1"/>
    <col min="6" max="6" width="7.1796875" style="4" customWidth="1"/>
    <col min="7" max="7" width="6.7265625" style="18" customWidth="1"/>
    <col min="8" max="8" width="7.1796875" style="4" customWidth="1"/>
    <col min="9" max="9" width="6.7265625" style="18" customWidth="1"/>
    <col min="10" max="10" width="7.1796875" style="4" customWidth="1"/>
    <col min="11" max="11" width="6.7265625" style="18" customWidth="1"/>
    <col min="12" max="12" width="7.1796875" style="4" customWidth="1"/>
    <col min="13" max="13" width="6.7265625" style="18" customWidth="1"/>
    <col min="14" max="14" width="7.1796875" style="4" customWidth="1"/>
    <col min="15" max="15" width="6.7265625" style="18" customWidth="1"/>
    <col min="16" max="16" width="7.1796875" style="4" customWidth="1"/>
    <col min="17" max="17" width="6.7265625" style="18" customWidth="1"/>
    <col min="18" max="16384" width="11.453125" style="4"/>
  </cols>
  <sheetData>
    <row r="1" spans="1:17" s="1" customFormat="1" ht="14" x14ac:dyDescent="0.4">
      <c r="C1" s="16"/>
      <c r="E1" s="16"/>
      <c r="G1" s="16"/>
      <c r="I1" s="16"/>
      <c r="K1" s="16"/>
      <c r="M1" s="16"/>
      <c r="O1" s="16"/>
      <c r="Q1" s="16"/>
    </row>
    <row r="2" spans="1:17" s="1" customFormat="1" ht="33.75" customHeight="1" x14ac:dyDescent="0.4">
      <c r="C2" s="16"/>
      <c r="E2" s="16"/>
      <c r="G2" s="16"/>
      <c r="I2" s="16"/>
      <c r="K2" s="16"/>
      <c r="M2" s="16"/>
      <c r="O2" s="16"/>
      <c r="Q2" s="16"/>
    </row>
    <row r="3" spans="1:17" s="1" customFormat="1" ht="40.5" customHeight="1" x14ac:dyDescent="0.4">
      <c r="C3" s="16"/>
      <c r="E3" s="16"/>
      <c r="G3" s="16"/>
      <c r="I3" s="16"/>
      <c r="K3" s="16"/>
      <c r="M3" s="16"/>
      <c r="O3" s="16"/>
      <c r="Q3" s="16"/>
    </row>
    <row r="4" spans="1:17" s="1" customFormat="1" ht="18.75" customHeight="1" x14ac:dyDescent="0.4">
      <c r="A4" s="144" t="s">
        <v>0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</row>
    <row r="5" spans="1:17" s="1" customFormat="1" ht="24" customHeight="1" x14ac:dyDescent="0.4">
      <c r="A5" s="144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</row>
    <row r="6" spans="1:17" ht="18.75" customHeight="1" x14ac:dyDescent="0.45">
      <c r="A6" s="2" t="s">
        <v>16</v>
      </c>
      <c r="B6" s="3"/>
      <c r="C6" s="17"/>
      <c r="D6" s="3"/>
      <c r="E6" s="17"/>
      <c r="F6" s="3"/>
      <c r="G6" s="17"/>
      <c r="H6" s="3"/>
      <c r="I6" s="17"/>
      <c r="J6" s="3"/>
      <c r="K6" s="17"/>
      <c r="L6" s="3"/>
      <c r="M6" s="17"/>
      <c r="N6" s="3"/>
      <c r="O6" s="17"/>
      <c r="P6" s="3"/>
      <c r="Q6" s="17"/>
    </row>
    <row r="7" spans="1:17" ht="19.5" customHeight="1" x14ac:dyDescent="0.45">
      <c r="A7" s="2" t="str">
        <f>+"Variación mensual. "&amp;Índice!A7</f>
        <v>Variación mensual. Febrero de 2024</v>
      </c>
      <c r="B7" s="3"/>
      <c r="C7" s="17"/>
      <c r="D7" s="3"/>
      <c r="E7" s="17"/>
      <c r="F7" s="3"/>
      <c r="G7" s="17"/>
      <c r="H7" s="3"/>
      <c r="I7" s="17"/>
      <c r="J7" s="3"/>
      <c r="K7" s="17"/>
      <c r="L7" s="3"/>
      <c r="M7" s="17"/>
      <c r="N7" s="3"/>
      <c r="O7" s="17"/>
      <c r="P7" s="3"/>
      <c r="Q7" s="17"/>
    </row>
    <row r="8" spans="1:17" s="1" customFormat="1" ht="14" x14ac:dyDescent="0.4">
      <c r="C8" s="16"/>
      <c r="E8" s="16"/>
      <c r="G8" s="16"/>
      <c r="I8" s="16"/>
      <c r="K8" s="16"/>
      <c r="M8" s="16"/>
      <c r="O8" s="16"/>
      <c r="Q8" s="16"/>
    </row>
    <row r="9" spans="1:17" x14ac:dyDescent="0.45">
      <c r="A9" s="147" t="s">
        <v>1</v>
      </c>
      <c r="B9" s="146" t="s">
        <v>2</v>
      </c>
      <c r="C9" s="146"/>
      <c r="D9" s="146" t="s">
        <v>3</v>
      </c>
      <c r="E9" s="146"/>
      <c r="F9" s="146" t="s">
        <v>4</v>
      </c>
      <c r="G9" s="146"/>
      <c r="H9" s="145" t="s">
        <v>5</v>
      </c>
      <c r="I9" s="145"/>
      <c r="J9" s="146" t="s">
        <v>6</v>
      </c>
      <c r="K9" s="146"/>
      <c r="L9" s="146" t="s">
        <v>7</v>
      </c>
      <c r="M9" s="146"/>
      <c r="N9" s="146" t="s">
        <v>8</v>
      </c>
      <c r="O9" s="146"/>
      <c r="P9" s="146" t="s">
        <v>9</v>
      </c>
      <c r="Q9" s="146"/>
    </row>
    <row r="10" spans="1:17" x14ac:dyDescent="0.45">
      <c r="A10" s="148"/>
      <c r="B10" s="5" t="s">
        <v>10</v>
      </c>
      <c r="C10" s="20" t="s">
        <v>11</v>
      </c>
      <c r="D10" s="5" t="s">
        <v>10</v>
      </c>
      <c r="E10" s="20" t="s">
        <v>11</v>
      </c>
      <c r="F10" s="5" t="s">
        <v>10</v>
      </c>
      <c r="G10" s="20" t="s">
        <v>11</v>
      </c>
      <c r="H10" s="5" t="s">
        <v>10</v>
      </c>
      <c r="I10" s="20" t="s">
        <v>11</v>
      </c>
      <c r="J10" s="5" t="s">
        <v>10</v>
      </c>
      <c r="K10" s="20" t="s">
        <v>11</v>
      </c>
      <c r="L10" s="5" t="s">
        <v>10</v>
      </c>
      <c r="M10" s="20" t="s">
        <v>11</v>
      </c>
      <c r="N10" s="5" t="s">
        <v>10</v>
      </c>
      <c r="O10" s="20" t="s">
        <v>11</v>
      </c>
      <c r="P10" s="5" t="s">
        <v>10</v>
      </c>
      <c r="Q10" s="20" t="s">
        <v>11</v>
      </c>
    </row>
    <row r="11" spans="1:17" s="100" customFormat="1" ht="12" customHeight="1" x14ac:dyDescent="0.4">
      <c r="A11" s="120" t="s">
        <v>17</v>
      </c>
      <c r="B11" s="120"/>
      <c r="C11" s="121"/>
      <c r="D11" s="120"/>
      <c r="E11" s="121"/>
      <c r="F11" s="120"/>
      <c r="G11" s="121"/>
      <c r="H11" s="120"/>
      <c r="I11" s="121"/>
      <c r="J11" s="120"/>
      <c r="K11" s="121"/>
      <c r="L11" s="120"/>
      <c r="M11" s="121"/>
      <c r="N11" s="120"/>
      <c r="O11" s="121"/>
      <c r="P11" s="120"/>
      <c r="Q11" s="121"/>
    </row>
    <row r="12" spans="1:17" s="100" customFormat="1" ht="12" customHeight="1" x14ac:dyDescent="0.4">
      <c r="A12" s="21" t="s">
        <v>18</v>
      </c>
      <c r="B12" s="23">
        <v>885</v>
      </c>
      <c r="C12" s="83">
        <v>-10.61</v>
      </c>
      <c r="D12" s="22">
        <v>1671</v>
      </c>
      <c r="E12" s="84">
        <v>-13.78</v>
      </c>
      <c r="F12" s="22">
        <v>1611</v>
      </c>
      <c r="G12" s="84">
        <v>-4.5599999999999996</v>
      </c>
      <c r="H12" s="27" t="s">
        <v>58</v>
      </c>
      <c r="I12" s="114" t="s">
        <v>59</v>
      </c>
      <c r="J12" s="22">
        <v>900</v>
      </c>
      <c r="K12" s="84">
        <v>-29.08</v>
      </c>
      <c r="L12" s="22">
        <v>1697</v>
      </c>
      <c r="M12" s="84">
        <v>0.35</v>
      </c>
      <c r="N12" s="22">
        <v>923</v>
      </c>
      <c r="O12" s="84">
        <v>-9.7799999999999994</v>
      </c>
      <c r="P12" s="23">
        <v>1730</v>
      </c>
      <c r="Q12" s="85">
        <v>-3.3</v>
      </c>
    </row>
    <row r="13" spans="1:17" s="100" customFormat="1" ht="12" customHeight="1" x14ac:dyDescent="0.4">
      <c r="A13" s="24" t="s">
        <v>19</v>
      </c>
      <c r="B13" s="25">
        <v>9947</v>
      </c>
      <c r="C13" s="86">
        <v>-0.03</v>
      </c>
      <c r="D13" s="25">
        <v>5538</v>
      </c>
      <c r="E13" s="87">
        <v>1.26</v>
      </c>
      <c r="F13" s="25">
        <v>6189</v>
      </c>
      <c r="G13" s="87">
        <v>1.06</v>
      </c>
      <c r="H13" s="29" t="s">
        <v>58</v>
      </c>
      <c r="I13" s="115" t="s">
        <v>59</v>
      </c>
      <c r="J13" s="25">
        <v>5059</v>
      </c>
      <c r="K13" s="86">
        <v>2.16</v>
      </c>
      <c r="L13" s="25">
        <v>7218</v>
      </c>
      <c r="M13" s="87">
        <v>-0.76</v>
      </c>
      <c r="N13" s="25">
        <v>4196</v>
      </c>
      <c r="O13" s="87">
        <v>61.51</v>
      </c>
      <c r="P13" s="26">
        <v>5378</v>
      </c>
      <c r="Q13" s="86">
        <v>-3.43</v>
      </c>
    </row>
    <row r="14" spans="1:17" s="100" customFormat="1" ht="12" customHeight="1" x14ac:dyDescent="0.4">
      <c r="A14" s="21" t="s">
        <v>20</v>
      </c>
      <c r="B14" s="104">
        <v>1766</v>
      </c>
      <c r="C14" s="105">
        <v>-3.5</v>
      </c>
      <c r="D14" s="22">
        <v>1160</v>
      </c>
      <c r="E14" s="84">
        <v>-5.61</v>
      </c>
      <c r="F14" s="22">
        <v>1274</v>
      </c>
      <c r="G14" s="84">
        <v>-5.49</v>
      </c>
      <c r="H14" s="22">
        <v>1670</v>
      </c>
      <c r="I14" s="84">
        <v>-4.24</v>
      </c>
      <c r="J14" s="104">
        <v>1803</v>
      </c>
      <c r="K14" s="105">
        <v>-6.39</v>
      </c>
      <c r="L14" s="22">
        <v>1419</v>
      </c>
      <c r="M14" s="84">
        <v>-7.25</v>
      </c>
      <c r="N14" s="22">
        <v>1412</v>
      </c>
      <c r="O14" s="84">
        <v>-0.56000000000000005</v>
      </c>
      <c r="P14" s="22">
        <v>1499</v>
      </c>
      <c r="Q14" s="84">
        <v>-7.35</v>
      </c>
    </row>
    <row r="15" spans="1:17" s="100" customFormat="1" ht="12" customHeight="1" x14ac:dyDescent="0.4">
      <c r="A15" s="24" t="s">
        <v>21</v>
      </c>
      <c r="B15" s="25">
        <v>2504</v>
      </c>
      <c r="C15" s="87">
        <v>7.88</v>
      </c>
      <c r="D15" s="25">
        <v>2646</v>
      </c>
      <c r="E15" s="87">
        <v>5.63</v>
      </c>
      <c r="F15" s="25">
        <v>1713</v>
      </c>
      <c r="G15" s="87">
        <v>12.25</v>
      </c>
      <c r="H15" s="26">
        <v>2960</v>
      </c>
      <c r="I15" s="37">
        <v>-4.8499999999999996</v>
      </c>
      <c r="J15" s="25">
        <v>2067</v>
      </c>
      <c r="K15" s="87">
        <v>-7.39</v>
      </c>
      <c r="L15" s="25">
        <v>1865</v>
      </c>
      <c r="M15" s="87">
        <v>10.36</v>
      </c>
      <c r="N15" s="25">
        <v>2683</v>
      </c>
      <c r="O15" s="87">
        <v>6.98</v>
      </c>
      <c r="P15" s="26">
        <v>2430</v>
      </c>
      <c r="Q15" s="86">
        <v>2.3199999999999998</v>
      </c>
    </row>
    <row r="16" spans="1:17" s="100" customFormat="1" ht="12" customHeight="1" x14ac:dyDescent="0.4">
      <c r="A16" s="21" t="s">
        <v>22</v>
      </c>
      <c r="B16" s="27" t="s">
        <v>58</v>
      </c>
      <c r="C16" s="114" t="s">
        <v>59</v>
      </c>
      <c r="D16" s="22">
        <v>1917</v>
      </c>
      <c r="E16" s="84">
        <v>30.67</v>
      </c>
      <c r="F16" s="22">
        <v>1180</v>
      </c>
      <c r="G16" s="84">
        <v>17.53</v>
      </c>
      <c r="H16" s="22">
        <v>1434</v>
      </c>
      <c r="I16" s="84">
        <v>-2.1800000000000002</v>
      </c>
      <c r="J16" s="22">
        <v>1803</v>
      </c>
      <c r="K16" s="84">
        <v>12.48</v>
      </c>
      <c r="L16" s="22">
        <v>1664</v>
      </c>
      <c r="M16" s="84">
        <v>-0.18</v>
      </c>
      <c r="N16" s="22">
        <v>1392</v>
      </c>
      <c r="O16" s="84">
        <v>-4.66</v>
      </c>
      <c r="P16" s="27" t="s">
        <v>58</v>
      </c>
      <c r="Q16" s="114" t="s">
        <v>59</v>
      </c>
    </row>
    <row r="17" spans="1:17" s="100" customFormat="1" ht="12" customHeight="1" x14ac:dyDescent="0.4">
      <c r="A17" s="24" t="s">
        <v>23</v>
      </c>
      <c r="B17" s="25">
        <v>5231</v>
      </c>
      <c r="C17" s="87">
        <v>18.75</v>
      </c>
      <c r="D17" s="25">
        <v>3665</v>
      </c>
      <c r="E17" s="87">
        <v>17.059999999999999</v>
      </c>
      <c r="F17" s="25">
        <v>4825</v>
      </c>
      <c r="G17" s="87">
        <v>30.83</v>
      </c>
      <c r="H17" s="26">
        <v>5352</v>
      </c>
      <c r="I17" s="86">
        <v>13.41</v>
      </c>
      <c r="J17" s="25">
        <v>5591</v>
      </c>
      <c r="K17" s="87">
        <v>44.92</v>
      </c>
      <c r="L17" s="25">
        <v>4374</v>
      </c>
      <c r="M17" s="87">
        <v>4.6900000000000004</v>
      </c>
      <c r="N17" s="25">
        <v>2866</v>
      </c>
      <c r="O17" s="87">
        <v>11.73</v>
      </c>
      <c r="P17" s="26">
        <v>4770</v>
      </c>
      <c r="Q17" s="86">
        <v>38.659999999999997</v>
      </c>
    </row>
    <row r="18" spans="1:17" s="100" customFormat="1" ht="12" customHeight="1" x14ac:dyDescent="0.4">
      <c r="A18" s="21" t="s">
        <v>24</v>
      </c>
      <c r="B18" s="104">
        <v>3598</v>
      </c>
      <c r="C18" s="105">
        <v>15.25</v>
      </c>
      <c r="D18" s="22">
        <v>3122</v>
      </c>
      <c r="E18" s="84">
        <v>19.89</v>
      </c>
      <c r="F18" s="22">
        <v>1907</v>
      </c>
      <c r="G18" s="84">
        <v>-20.81</v>
      </c>
      <c r="H18" s="22">
        <v>3144</v>
      </c>
      <c r="I18" s="84">
        <v>10.74</v>
      </c>
      <c r="J18" s="104">
        <v>1910</v>
      </c>
      <c r="K18" s="105">
        <v>45.8</v>
      </c>
      <c r="L18" s="22">
        <v>1753</v>
      </c>
      <c r="M18" s="84">
        <v>-21.5</v>
      </c>
      <c r="N18" s="22">
        <v>1557</v>
      </c>
      <c r="O18" s="84">
        <v>19.399999999999999</v>
      </c>
      <c r="P18" s="22">
        <v>2877</v>
      </c>
      <c r="Q18" s="84">
        <v>20.88</v>
      </c>
    </row>
    <row r="19" spans="1:17" s="100" customFormat="1" ht="12" customHeight="1" x14ac:dyDescent="0.4">
      <c r="A19" s="24" t="s">
        <v>25</v>
      </c>
      <c r="B19" s="25">
        <v>2011</v>
      </c>
      <c r="C19" s="87">
        <v>-6.6</v>
      </c>
      <c r="D19" s="25">
        <v>3200</v>
      </c>
      <c r="E19" s="87">
        <v>3.13</v>
      </c>
      <c r="F19" s="25">
        <v>1986</v>
      </c>
      <c r="G19" s="87">
        <v>14.2</v>
      </c>
      <c r="H19" s="26">
        <v>2219</v>
      </c>
      <c r="I19" s="86">
        <v>-8.83</v>
      </c>
      <c r="J19" s="25">
        <v>1859</v>
      </c>
      <c r="K19" s="87">
        <v>11.32</v>
      </c>
      <c r="L19" s="25">
        <v>1804</v>
      </c>
      <c r="M19" s="87">
        <v>11.91</v>
      </c>
      <c r="N19" s="25">
        <v>1820</v>
      </c>
      <c r="O19" s="87">
        <v>-5.8</v>
      </c>
      <c r="P19" s="26">
        <v>2530</v>
      </c>
      <c r="Q19" s="86">
        <v>13.96</v>
      </c>
    </row>
    <row r="20" spans="1:17" s="100" customFormat="1" ht="12" customHeight="1" x14ac:dyDescent="0.4">
      <c r="A20" s="21" t="s">
        <v>26</v>
      </c>
      <c r="B20" s="22">
        <v>2627</v>
      </c>
      <c r="C20" s="84">
        <v>-5.13</v>
      </c>
      <c r="D20" s="22">
        <v>3291</v>
      </c>
      <c r="E20" s="84">
        <v>-13.26</v>
      </c>
      <c r="F20" s="22">
        <v>3404</v>
      </c>
      <c r="G20" s="84">
        <v>-16.809999999999999</v>
      </c>
      <c r="H20" s="22">
        <v>3233</v>
      </c>
      <c r="I20" s="84">
        <v>-21.91</v>
      </c>
      <c r="J20" s="22">
        <v>2081</v>
      </c>
      <c r="K20" s="84">
        <v>-3.61</v>
      </c>
      <c r="L20" s="22">
        <v>2780</v>
      </c>
      <c r="M20" s="84">
        <v>-39.049999999999997</v>
      </c>
      <c r="N20" s="22">
        <v>1808</v>
      </c>
      <c r="O20" s="84">
        <v>-35.17</v>
      </c>
      <c r="P20" s="22">
        <v>2774</v>
      </c>
      <c r="Q20" s="84">
        <v>-11.52</v>
      </c>
    </row>
    <row r="21" spans="1:17" s="100" customFormat="1" ht="12" customHeight="1" x14ac:dyDescent="0.4">
      <c r="A21" s="24" t="s">
        <v>27</v>
      </c>
      <c r="B21" s="25">
        <v>2199</v>
      </c>
      <c r="C21" s="87">
        <v>6.59</v>
      </c>
      <c r="D21" s="25">
        <v>1782</v>
      </c>
      <c r="E21" s="87">
        <v>18.559999999999999</v>
      </c>
      <c r="F21" s="25">
        <v>1488</v>
      </c>
      <c r="G21" s="87">
        <v>5.01</v>
      </c>
      <c r="H21" s="26">
        <v>2117</v>
      </c>
      <c r="I21" s="86">
        <v>12.01</v>
      </c>
      <c r="J21" s="25">
        <v>2208</v>
      </c>
      <c r="K21" s="87">
        <v>13.35</v>
      </c>
      <c r="L21" s="25">
        <v>2010</v>
      </c>
      <c r="M21" s="87">
        <v>21.67</v>
      </c>
      <c r="N21" s="25">
        <v>1021</v>
      </c>
      <c r="O21" s="87">
        <v>42.6</v>
      </c>
      <c r="P21" s="26">
        <v>2208</v>
      </c>
      <c r="Q21" s="86">
        <v>11.46</v>
      </c>
    </row>
    <row r="22" spans="1:17" s="100" customFormat="1" ht="12" customHeight="1" x14ac:dyDescent="0.4">
      <c r="A22" s="21" t="s">
        <v>28</v>
      </c>
      <c r="B22" s="22">
        <v>3318</v>
      </c>
      <c r="C22" s="84">
        <v>13.01</v>
      </c>
      <c r="D22" s="22">
        <v>3600</v>
      </c>
      <c r="E22" s="84">
        <v>14.1</v>
      </c>
      <c r="F22" s="22">
        <v>3477</v>
      </c>
      <c r="G22" s="84">
        <v>11.69</v>
      </c>
      <c r="H22" s="27" t="s">
        <v>58</v>
      </c>
      <c r="I22" s="114" t="s">
        <v>59</v>
      </c>
      <c r="J22" s="22">
        <v>3534</v>
      </c>
      <c r="K22" s="84">
        <v>9.75</v>
      </c>
      <c r="L22" s="22">
        <v>3314</v>
      </c>
      <c r="M22" s="84">
        <v>10.61</v>
      </c>
      <c r="N22" s="22">
        <v>3219</v>
      </c>
      <c r="O22" s="84">
        <v>4.21</v>
      </c>
      <c r="P22" s="23">
        <v>3633</v>
      </c>
      <c r="Q22" s="85">
        <v>14.93</v>
      </c>
    </row>
    <row r="23" spans="1:17" s="100" customFormat="1" ht="12" customHeight="1" x14ac:dyDescent="0.4">
      <c r="A23" s="30" t="s">
        <v>29</v>
      </c>
      <c r="B23" s="95">
        <v>2281</v>
      </c>
      <c r="C23" s="108">
        <v>29.68</v>
      </c>
      <c r="D23" s="31">
        <v>3152</v>
      </c>
      <c r="E23" s="88">
        <v>37.46</v>
      </c>
      <c r="F23" s="31">
        <v>1460</v>
      </c>
      <c r="G23" s="88">
        <v>1.39</v>
      </c>
      <c r="H23" s="31">
        <v>2489</v>
      </c>
      <c r="I23" s="88">
        <v>34.18</v>
      </c>
      <c r="J23" s="31">
        <v>2987</v>
      </c>
      <c r="K23" s="88">
        <v>26.25</v>
      </c>
      <c r="L23" s="31">
        <v>1862</v>
      </c>
      <c r="M23" s="88">
        <v>27.97</v>
      </c>
      <c r="N23" s="31">
        <v>1954</v>
      </c>
      <c r="O23" s="150">
        <v>15.55</v>
      </c>
      <c r="P23" s="31">
        <v>2604</v>
      </c>
      <c r="Q23" s="88">
        <v>21.74</v>
      </c>
    </row>
    <row r="24" spans="1:17" s="134" customFormat="1" ht="11.5" x14ac:dyDescent="0.3">
      <c r="A24" s="122" t="s">
        <v>30</v>
      </c>
      <c r="B24" s="123"/>
      <c r="C24" s="124"/>
      <c r="D24" s="123"/>
      <c r="E24" s="124"/>
      <c r="F24" s="123"/>
      <c r="G24" s="124"/>
      <c r="H24" s="123"/>
      <c r="I24" s="124"/>
      <c r="J24" s="123"/>
      <c r="K24" s="124"/>
      <c r="L24" s="123"/>
      <c r="M24" s="124"/>
      <c r="N24" s="123"/>
      <c r="O24" s="124"/>
      <c r="P24" s="123"/>
      <c r="Q24" s="124"/>
    </row>
    <row r="25" spans="1:17" s="100" customFormat="1" ht="12" customHeight="1" x14ac:dyDescent="0.4">
      <c r="A25" s="24" t="s">
        <v>48</v>
      </c>
      <c r="B25" s="109" t="s">
        <v>58</v>
      </c>
      <c r="C25" s="115" t="s">
        <v>59</v>
      </c>
      <c r="D25" s="25">
        <v>11140</v>
      </c>
      <c r="E25" s="87">
        <v>2.64</v>
      </c>
      <c r="F25" s="25">
        <v>11667</v>
      </c>
      <c r="G25" s="37">
        <v>8.5299999999999994</v>
      </c>
      <c r="H25" s="29">
        <v>12931</v>
      </c>
      <c r="I25" s="115">
        <v>5.96</v>
      </c>
      <c r="J25" s="28">
        <v>11046</v>
      </c>
      <c r="K25" s="86">
        <v>4.6900000000000004</v>
      </c>
      <c r="L25" s="25" t="s">
        <v>58</v>
      </c>
      <c r="M25" s="137" t="s">
        <v>59</v>
      </c>
      <c r="N25" s="25">
        <v>9941</v>
      </c>
      <c r="O25" s="87">
        <v>9.41</v>
      </c>
      <c r="P25" s="26">
        <v>9917</v>
      </c>
      <c r="Q25" s="86">
        <v>0.04</v>
      </c>
    </row>
    <row r="26" spans="1:17" s="100" customFormat="1" ht="12" customHeight="1" x14ac:dyDescent="0.4">
      <c r="A26" s="21" t="s">
        <v>31</v>
      </c>
      <c r="B26" s="22">
        <v>1183</v>
      </c>
      <c r="C26" s="84">
        <v>6.1</v>
      </c>
      <c r="D26" s="22">
        <v>2266</v>
      </c>
      <c r="E26" s="84">
        <v>2.21</v>
      </c>
      <c r="F26" s="22">
        <v>2076</v>
      </c>
      <c r="G26" s="84">
        <v>7.01</v>
      </c>
      <c r="H26" s="27" t="s">
        <v>58</v>
      </c>
      <c r="I26" s="114" t="s">
        <v>59</v>
      </c>
      <c r="J26" s="22">
        <v>1680</v>
      </c>
      <c r="K26" s="84">
        <v>-0.47</v>
      </c>
      <c r="L26" s="22">
        <v>2373</v>
      </c>
      <c r="M26" s="84">
        <v>10.89</v>
      </c>
      <c r="N26" s="22">
        <v>1750</v>
      </c>
      <c r="O26" s="84">
        <v>-0.17</v>
      </c>
      <c r="P26" s="23">
        <v>1477</v>
      </c>
      <c r="Q26" s="85">
        <v>-0.27</v>
      </c>
    </row>
    <row r="27" spans="1:17" s="100" customFormat="1" ht="12" customHeight="1" x14ac:dyDescent="0.4">
      <c r="A27" s="24" t="s">
        <v>32</v>
      </c>
      <c r="B27" s="25">
        <v>4644</v>
      </c>
      <c r="C27" s="87">
        <v>6.17</v>
      </c>
      <c r="D27" s="25">
        <v>6419</v>
      </c>
      <c r="E27" s="87">
        <v>-3.28</v>
      </c>
      <c r="F27" s="29" t="s">
        <v>58</v>
      </c>
      <c r="G27" s="115" t="s">
        <v>59</v>
      </c>
      <c r="H27" s="25">
        <v>4259</v>
      </c>
      <c r="I27" s="87">
        <v>-12.85</v>
      </c>
      <c r="J27" s="25">
        <v>4103</v>
      </c>
      <c r="K27" s="87">
        <v>-3.16</v>
      </c>
      <c r="L27" s="29" t="s">
        <v>58</v>
      </c>
      <c r="M27" s="115" t="s">
        <v>59</v>
      </c>
      <c r="N27" s="26">
        <v>7217</v>
      </c>
      <c r="O27" s="87">
        <v>0.85</v>
      </c>
      <c r="P27" s="25">
        <v>4761</v>
      </c>
      <c r="Q27" s="87">
        <v>-14.31</v>
      </c>
    </row>
    <row r="28" spans="1:17" s="100" customFormat="1" ht="12" customHeight="1" x14ac:dyDescent="0.4">
      <c r="A28" s="21" t="s">
        <v>33</v>
      </c>
      <c r="B28" s="27" t="s">
        <v>58</v>
      </c>
      <c r="C28" s="114" t="s">
        <v>59</v>
      </c>
      <c r="D28" s="22">
        <v>11111</v>
      </c>
      <c r="E28" s="84">
        <v>20.309999999999999</v>
      </c>
      <c r="F28" s="22">
        <v>11455</v>
      </c>
      <c r="G28" s="84">
        <v>19.16</v>
      </c>
      <c r="H28" s="27" t="s">
        <v>58</v>
      </c>
      <c r="I28" s="114" t="s">
        <v>59</v>
      </c>
      <c r="J28" s="23">
        <v>9963</v>
      </c>
      <c r="K28" s="83">
        <v>29.56</v>
      </c>
      <c r="L28" s="23">
        <v>6429</v>
      </c>
      <c r="M28" s="85">
        <v>-7.19</v>
      </c>
      <c r="N28" s="22">
        <v>8199</v>
      </c>
      <c r="O28" s="84">
        <v>16.88</v>
      </c>
      <c r="P28" s="23">
        <v>8931</v>
      </c>
      <c r="Q28" s="85">
        <v>7.18</v>
      </c>
    </row>
    <row r="29" spans="1:17" s="100" customFormat="1" ht="12" customHeight="1" x14ac:dyDescent="0.4">
      <c r="A29" s="24" t="s">
        <v>34</v>
      </c>
      <c r="B29" s="25">
        <v>4025</v>
      </c>
      <c r="C29" s="87">
        <v>0.7</v>
      </c>
      <c r="D29" s="25">
        <v>2153</v>
      </c>
      <c r="E29" s="87">
        <v>-31.54</v>
      </c>
      <c r="F29" s="25">
        <v>2573</v>
      </c>
      <c r="G29" s="87">
        <v>-6.3</v>
      </c>
      <c r="H29" s="25">
        <v>3658</v>
      </c>
      <c r="I29" s="87">
        <v>3.92</v>
      </c>
      <c r="J29" s="25">
        <v>2257</v>
      </c>
      <c r="K29" s="87">
        <v>-15.15</v>
      </c>
      <c r="L29" s="25">
        <v>3365</v>
      </c>
      <c r="M29" s="87">
        <v>6.12</v>
      </c>
      <c r="N29" s="25">
        <v>2820</v>
      </c>
      <c r="O29" s="87">
        <v>27.43</v>
      </c>
      <c r="P29" s="25">
        <v>2548</v>
      </c>
      <c r="Q29" s="87">
        <v>9.59</v>
      </c>
    </row>
    <row r="30" spans="1:17" s="100" customFormat="1" ht="12" customHeight="1" x14ac:dyDescent="0.4">
      <c r="A30" s="21" t="s">
        <v>55</v>
      </c>
      <c r="B30" s="22">
        <v>1784</v>
      </c>
      <c r="C30" s="84">
        <v>-1.1100000000000001</v>
      </c>
      <c r="D30" s="22">
        <v>1617</v>
      </c>
      <c r="E30" s="84">
        <v>4.05</v>
      </c>
      <c r="F30" s="22">
        <v>1339</v>
      </c>
      <c r="G30" s="84">
        <v>9.66</v>
      </c>
      <c r="H30" s="23">
        <v>2056</v>
      </c>
      <c r="I30" s="85">
        <v>-4.0999999999999996</v>
      </c>
      <c r="J30" s="22">
        <v>1360</v>
      </c>
      <c r="K30" s="85">
        <v>1.95</v>
      </c>
      <c r="L30" s="22">
        <v>1698</v>
      </c>
      <c r="M30" s="84">
        <v>-17.57</v>
      </c>
      <c r="N30" s="22">
        <v>1661</v>
      </c>
      <c r="O30" s="84">
        <v>14.08</v>
      </c>
      <c r="P30" s="23">
        <v>1689</v>
      </c>
      <c r="Q30" s="85">
        <v>3.62</v>
      </c>
    </row>
    <row r="31" spans="1:17" s="100" customFormat="1" ht="12" customHeight="1" x14ac:dyDescent="0.4">
      <c r="A31" s="24" t="s">
        <v>35</v>
      </c>
      <c r="B31" s="26">
        <v>5422</v>
      </c>
      <c r="C31" s="86">
        <v>16.399999999999999</v>
      </c>
      <c r="D31" s="25">
        <v>4936</v>
      </c>
      <c r="E31" s="87">
        <v>12.21</v>
      </c>
      <c r="F31" s="25">
        <v>4652</v>
      </c>
      <c r="G31" s="87">
        <v>22.39</v>
      </c>
      <c r="H31" s="26">
        <v>5665</v>
      </c>
      <c r="I31" s="86">
        <v>17.649999999999999</v>
      </c>
      <c r="J31" s="26">
        <v>4536</v>
      </c>
      <c r="K31" s="86">
        <v>22.76</v>
      </c>
      <c r="L31" s="25">
        <v>6250</v>
      </c>
      <c r="M31" s="87">
        <v>23.44</v>
      </c>
      <c r="N31" s="25">
        <v>4008</v>
      </c>
      <c r="O31" s="87">
        <v>23.78</v>
      </c>
      <c r="P31" s="26">
        <v>4187</v>
      </c>
      <c r="Q31" s="86">
        <v>34.89</v>
      </c>
    </row>
    <row r="32" spans="1:17" s="100" customFormat="1" ht="12" customHeight="1" x14ac:dyDescent="0.4">
      <c r="A32" s="21" t="s">
        <v>36</v>
      </c>
      <c r="B32" s="22">
        <v>5288</v>
      </c>
      <c r="C32" s="84">
        <v>73.489999999999995</v>
      </c>
      <c r="D32" s="22">
        <v>6093</v>
      </c>
      <c r="E32" s="84">
        <v>64.36</v>
      </c>
      <c r="F32" s="22">
        <v>4947</v>
      </c>
      <c r="G32" s="84">
        <v>94.76</v>
      </c>
      <c r="H32" s="151">
        <v>4098</v>
      </c>
      <c r="I32" s="152">
        <v>35.11</v>
      </c>
      <c r="J32" s="22">
        <v>4356</v>
      </c>
      <c r="K32" s="84">
        <v>30.03</v>
      </c>
      <c r="L32" s="22">
        <v>3829</v>
      </c>
      <c r="M32" s="84">
        <v>68.010000000000005</v>
      </c>
      <c r="N32" s="22">
        <v>6484</v>
      </c>
      <c r="O32" s="84">
        <v>29.58</v>
      </c>
      <c r="P32" s="23">
        <v>4000</v>
      </c>
      <c r="Q32" s="85">
        <v>-2.84</v>
      </c>
    </row>
    <row r="33" spans="1:17" s="100" customFormat="1" ht="12" customHeight="1" x14ac:dyDescent="0.4">
      <c r="A33" s="24" t="s">
        <v>37</v>
      </c>
      <c r="B33" s="25">
        <v>4328</v>
      </c>
      <c r="C33" s="87">
        <v>25.52</v>
      </c>
      <c r="D33" s="25">
        <v>3730</v>
      </c>
      <c r="E33" s="101">
        <v>35.049999999999997</v>
      </c>
      <c r="F33" s="25">
        <v>3895</v>
      </c>
      <c r="G33" s="86">
        <v>28.97</v>
      </c>
      <c r="H33" s="153">
        <v>4541</v>
      </c>
      <c r="I33" s="154">
        <v>27.09</v>
      </c>
      <c r="J33" s="25">
        <v>3806</v>
      </c>
      <c r="K33" s="87">
        <v>41.38</v>
      </c>
      <c r="L33" s="25">
        <v>3848</v>
      </c>
      <c r="M33" s="87">
        <v>29.34</v>
      </c>
      <c r="N33" s="25">
        <v>3552</v>
      </c>
      <c r="O33" s="86">
        <v>38.590000000000003</v>
      </c>
      <c r="P33" s="26">
        <v>4059</v>
      </c>
      <c r="Q33" s="87">
        <v>35.479999999999997</v>
      </c>
    </row>
    <row r="34" spans="1:17" s="100" customFormat="1" ht="12" customHeight="1" x14ac:dyDescent="0.4">
      <c r="A34" s="21" t="s">
        <v>51</v>
      </c>
      <c r="B34" s="79" t="s">
        <v>58</v>
      </c>
      <c r="C34" s="114" t="s">
        <v>59</v>
      </c>
      <c r="D34" s="22">
        <v>9529</v>
      </c>
      <c r="E34" s="84">
        <v>-0.21</v>
      </c>
      <c r="F34" s="22">
        <v>9000</v>
      </c>
      <c r="G34" s="84">
        <v>2.12</v>
      </c>
      <c r="H34" s="23">
        <v>9756</v>
      </c>
      <c r="I34" s="83">
        <v>0.96</v>
      </c>
      <c r="J34" s="23">
        <v>9186</v>
      </c>
      <c r="K34" s="85">
        <v>0.92</v>
      </c>
      <c r="L34" s="22">
        <v>9808</v>
      </c>
      <c r="M34" s="84">
        <v>-13.85</v>
      </c>
      <c r="N34" s="22">
        <v>9254</v>
      </c>
      <c r="O34" s="84">
        <v>5.41</v>
      </c>
      <c r="P34" s="23">
        <v>9262</v>
      </c>
      <c r="Q34" s="85">
        <v>-1.49</v>
      </c>
    </row>
    <row r="35" spans="1:17" s="100" customFormat="1" ht="12" customHeight="1" x14ac:dyDescent="0.4">
      <c r="A35" s="24" t="s">
        <v>38</v>
      </c>
      <c r="B35" s="26">
        <v>4277</v>
      </c>
      <c r="C35" s="37">
        <v>20.61</v>
      </c>
      <c r="D35" s="25">
        <v>4074</v>
      </c>
      <c r="E35" s="87">
        <v>45.5</v>
      </c>
      <c r="F35" s="25">
        <v>4170</v>
      </c>
      <c r="G35" s="87">
        <v>66.33</v>
      </c>
      <c r="H35" s="29" t="s">
        <v>58</v>
      </c>
      <c r="I35" s="115" t="s">
        <v>59</v>
      </c>
      <c r="J35" s="25">
        <v>4089</v>
      </c>
      <c r="K35" s="87">
        <v>31.99</v>
      </c>
      <c r="L35" s="25">
        <v>3900</v>
      </c>
      <c r="M35" s="87">
        <v>24.68</v>
      </c>
      <c r="N35" s="25">
        <v>3390</v>
      </c>
      <c r="O35" s="87">
        <v>34.15</v>
      </c>
      <c r="P35" s="26">
        <v>4411</v>
      </c>
      <c r="Q35" s="87">
        <v>36.44</v>
      </c>
    </row>
    <row r="36" spans="1:17" s="100" customFormat="1" ht="12" customHeight="1" x14ac:dyDescent="0.4">
      <c r="A36" s="21" t="s">
        <v>39</v>
      </c>
      <c r="B36" s="22">
        <v>6197</v>
      </c>
      <c r="C36" s="84">
        <v>8.1300000000000008</v>
      </c>
      <c r="D36" s="22">
        <v>5523</v>
      </c>
      <c r="E36" s="84">
        <v>-2.39</v>
      </c>
      <c r="F36" s="22">
        <v>4649</v>
      </c>
      <c r="G36" s="84">
        <v>8.32</v>
      </c>
      <c r="H36" s="23">
        <v>5412</v>
      </c>
      <c r="I36" s="85">
        <v>5.5</v>
      </c>
      <c r="J36" s="22">
        <v>5011</v>
      </c>
      <c r="K36" s="84">
        <v>-5.08</v>
      </c>
      <c r="L36" s="22">
        <v>4875</v>
      </c>
      <c r="M36" s="84">
        <v>10.97</v>
      </c>
      <c r="N36" s="22">
        <v>3345</v>
      </c>
      <c r="O36" s="84">
        <v>-0.36</v>
      </c>
      <c r="P36" s="23">
        <v>4606</v>
      </c>
      <c r="Q36" s="85">
        <v>2.79</v>
      </c>
    </row>
    <row r="37" spans="1:17" s="100" customFormat="1" ht="12" customHeight="1" x14ac:dyDescent="0.4">
      <c r="A37" s="24" t="s">
        <v>57</v>
      </c>
      <c r="B37" s="138" t="s">
        <v>58</v>
      </c>
      <c r="C37" s="115" t="s">
        <v>59</v>
      </c>
      <c r="D37" s="25">
        <v>2120</v>
      </c>
      <c r="E37" s="87">
        <v>8</v>
      </c>
      <c r="F37" s="25">
        <v>1678</v>
      </c>
      <c r="G37" s="86">
        <v>36.64</v>
      </c>
      <c r="H37" s="26">
        <v>1889</v>
      </c>
      <c r="I37" s="86">
        <v>4.9400000000000004</v>
      </c>
      <c r="J37" s="26">
        <v>1645</v>
      </c>
      <c r="K37" s="155">
        <v>11.9</v>
      </c>
      <c r="L37" s="26">
        <v>1509</v>
      </c>
      <c r="M37" s="155">
        <v>26.38</v>
      </c>
      <c r="N37" s="25">
        <v>2158</v>
      </c>
      <c r="O37" s="86">
        <v>24.52</v>
      </c>
      <c r="P37" s="25">
        <v>1535</v>
      </c>
      <c r="Q37" s="89">
        <v>4.07</v>
      </c>
    </row>
    <row r="38" spans="1:17" s="100" customFormat="1" ht="12" customHeight="1" x14ac:dyDescent="0.4">
      <c r="A38" s="21" t="s">
        <v>56</v>
      </c>
      <c r="B38" s="27" t="s">
        <v>58</v>
      </c>
      <c r="C38" s="114" t="s">
        <v>59</v>
      </c>
      <c r="D38" s="23">
        <v>1556</v>
      </c>
      <c r="E38" s="85">
        <v>13.99</v>
      </c>
      <c r="F38" s="22">
        <v>1447</v>
      </c>
      <c r="G38" s="84">
        <v>10.210000000000001</v>
      </c>
      <c r="H38" s="23">
        <v>1520</v>
      </c>
      <c r="I38" s="85">
        <v>4.47</v>
      </c>
      <c r="J38" s="23">
        <v>1719</v>
      </c>
      <c r="K38" s="84">
        <v>22.96</v>
      </c>
      <c r="L38" s="23">
        <v>2013</v>
      </c>
      <c r="M38" s="85">
        <v>16.760000000000002</v>
      </c>
      <c r="N38" s="22">
        <v>2662</v>
      </c>
      <c r="O38" s="84">
        <v>5.63</v>
      </c>
      <c r="P38" s="23">
        <v>1856</v>
      </c>
      <c r="Q38" s="85">
        <v>18.75</v>
      </c>
    </row>
    <row r="39" spans="1:17" s="100" customFormat="1" ht="12" customHeight="1" x14ac:dyDescent="0.4">
      <c r="A39" s="24" t="s">
        <v>40</v>
      </c>
      <c r="B39" s="26">
        <v>3608</v>
      </c>
      <c r="C39" s="37">
        <v>-21.74</v>
      </c>
      <c r="D39" s="26">
        <v>3479</v>
      </c>
      <c r="E39" s="86">
        <v>-11.07</v>
      </c>
      <c r="F39" s="25">
        <v>3429</v>
      </c>
      <c r="G39" s="87">
        <v>-13.97</v>
      </c>
      <c r="H39" s="26">
        <v>3992</v>
      </c>
      <c r="I39" s="86">
        <v>-1.82</v>
      </c>
      <c r="J39" s="26">
        <v>3444</v>
      </c>
      <c r="K39" s="87">
        <v>-4.68</v>
      </c>
      <c r="L39" s="26">
        <v>3472</v>
      </c>
      <c r="M39" s="86">
        <v>-8.7799999999999994</v>
      </c>
      <c r="N39" s="25">
        <v>3562</v>
      </c>
      <c r="O39" s="87">
        <v>-14.56</v>
      </c>
      <c r="P39" s="26">
        <v>4063</v>
      </c>
      <c r="Q39" s="86">
        <v>-14.73</v>
      </c>
    </row>
    <row r="40" spans="1:17" s="100" customFormat="1" ht="12" customHeight="1" x14ac:dyDescent="0.4">
      <c r="A40" s="21" t="s">
        <v>41</v>
      </c>
      <c r="B40" s="22">
        <v>2292</v>
      </c>
      <c r="C40" s="84">
        <v>10.56</v>
      </c>
      <c r="D40" s="22">
        <v>2367</v>
      </c>
      <c r="E40" s="84">
        <v>26.37</v>
      </c>
      <c r="F40" s="22">
        <v>2024</v>
      </c>
      <c r="G40" s="84">
        <v>7.83</v>
      </c>
      <c r="H40" s="23">
        <v>2142</v>
      </c>
      <c r="I40" s="105">
        <v>11.74</v>
      </c>
      <c r="J40" s="22">
        <v>1816</v>
      </c>
      <c r="K40" s="84">
        <v>12.59</v>
      </c>
      <c r="L40" s="22">
        <v>3435</v>
      </c>
      <c r="M40" s="84">
        <v>-17.29</v>
      </c>
      <c r="N40" s="22">
        <v>1685</v>
      </c>
      <c r="O40" s="84">
        <v>12.03</v>
      </c>
      <c r="P40" s="23">
        <v>2259</v>
      </c>
      <c r="Q40" s="105">
        <v>24.94</v>
      </c>
    </row>
    <row r="41" spans="1:17" s="100" customFormat="1" ht="12" customHeight="1" x14ac:dyDescent="0.4">
      <c r="A41" s="30" t="s">
        <v>60</v>
      </c>
      <c r="B41" s="31" t="s">
        <v>58</v>
      </c>
      <c r="C41" s="116" t="s">
        <v>59</v>
      </c>
      <c r="D41" s="31">
        <v>7160</v>
      </c>
      <c r="E41" s="88">
        <v>-19.07</v>
      </c>
      <c r="F41" s="31">
        <v>7684</v>
      </c>
      <c r="G41" s="88">
        <v>-19.350000000000001</v>
      </c>
      <c r="H41" s="95">
        <v>8581</v>
      </c>
      <c r="I41" s="108">
        <v>-14.99</v>
      </c>
      <c r="J41" s="31">
        <v>6778</v>
      </c>
      <c r="K41" s="88">
        <v>-16.989999999999998</v>
      </c>
      <c r="L41" s="31" t="s">
        <v>58</v>
      </c>
      <c r="M41" s="116" t="s">
        <v>59</v>
      </c>
      <c r="N41" s="31">
        <v>6734</v>
      </c>
      <c r="O41" s="88">
        <v>-19.18</v>
      </c>
      <c r="P41" s="95">
        <v>6822</v>
      </c>
      <c r="Q41" s="108">
        <v>-20.81</v>
      </c>
    </row>
    <row r="42" spans="1:17" s="100" customFormat="1" ht="12" customHeight="1" x14ac:dyDescent="0.4">
      <c r="A42" s="122" t="s">
        <v>42</v>
      </c>
      <c r="B42" s="123"/>
      <c r="C42" s="124"/>
      <c r="D42" s="123"/>
      <c r="E42" s="124"/>
      <c r="F42" s="123"/>
      <c r="G42" s="124"/>
      <c r="H42" s="123"/>
      <c r="I42" s="124"/>
      <c r="J42" s="123"/>
      <c r="K42" s="124"/>
      <c r="L42" s="123"/>
      <c r="M42" s="124"/>
      <c r="N42" s="123"/>
      <c r="O42" s="124"/>
      <c r="P42" s="123"/>
      <c r="Q42" s="124"/>
    </row>
    <row r="43" spans="1:17" s="100" customFormat="1" ht="12" customHeight="1" x14ac:dyDescent="0.4">
      <c r="A43" s="24" t="s">
        <v>43</v>
      </c>
      <c r="B43" s="29" t="s">
        <v>58</v>
      </c>
      <c r="C43" s="115" t="s">
        <v>59</v>
      </c>
      <c r="D43" s="25">
        <v>1784</v>
      </c>
      <c r="E43" s="87">
        <v>-25.98</v>
      </c>
      <c r="F43" s="25">
        <v>3467</v>
      </c>
      <c r="G43" s="87">
        <v>2.88</v>
      </c>
      <c r="H43" s="29" t="s">
        <v>58</v>
      </c>
      <c r="I43" s="115" t="s">
        <v>59</v>
      </c>
      <c r="J43" s="25">
        <v>2203</v>
      </c>
      <c r="K43" s="87">
        <v>-17.64</v>
      </c>
      <c r="L43" s="25">
        <v>3584</v>
      </c>
      <c r="M43" s="87">
        <v>-3.79</v>
      </c>
      <c r="N43" s="25">
        <v>1678</v>
      </c>
      <c r="O43" s="87">
        <v>-7.5</v>
      </c>
      <c r="P43" s="26">
        <v>3352</v>
      </c>
      <c r="Q43" s="87">
        <v>-5.0999999999999996</v>
      </c>
    </row>
    <row r="44" spans="1:17" s="100" customFormat="1" ht="12" customHeight="1" x14ac:dyDescent="0.4">
      <c r="A44" s="21" t="s">
        <v>44</v>
      </c>
      <c r="B44" s="22">
        <v>1564</v>
      </c>
      <c r="C44" s="84">
        <v>-1.2</v>
      </c>
      <c r="D44" s="22">
        <v>1669</v>
      </c>
      <c r="E44" s="84">
        <v>-8.3000000000000007</v>
      </c>
      <c r="F44" s="22">
        <v>1440</v>
      </c>
      <c r="G44" s="84">
        <v>-13.77</v>
      </c>
      <c r="H44" s="23">
        <v>1668</v>
      </c>
      <c r="I44" s="85">
        <v>-3.14</v>
      </c>
      <c r="J44" s="22">
        <v>1464</v>
      </c>
      <c r="K44" s="84">
        <v>-11.59</v>
      </c>
      <c r="L44" s="23">
        <v>1400</v>
      </c>
      <c r="M44" s="83">
        <v>5.74</v>
      </c>
      <c r="N44" s="22">
        <v>2154</v>
      </c>
      <c r="O44" s="84">
        <v>-0.55000000000000004</v>
      </c>
      <c r="P44" s="23">
        <v>1698</v>
      </c>
      <c r="Q44" s="85">
        <v>-12.74</v>
      </c>
    </row>
    <row r="45" spans="1:17" s="100" customFormat="1" ht="12" customHeight="1" x14ac:dyDescent="0.4">
      <c r="A45" s="24" t="s">
        <v>61</v>
      </c>
      <c r="B45" s="25">
        <v>3748</v>
      </c>
      <c r="C45" s="86">
        <v>11.51</v>
      </c>
      <c r="D45" s="25">
        <v>3851</v>
      </c>
      <c r="E45" s="87">
        <v>2.39</v>
      </c>
      <c r="F45" s="25">
        <v>2887</v>
      </c>
      <c r="G45" s="87">
        <v>8.94</v>
      </c>
      <c r="H45" s="25">
        <v>3969</v>
      </c>
      <c r="I45" s="87">
        <v>3.33</v>
      </c>
      <c r="J45" s="25">
        <v>2203</v>
      </c>
      <c r="K45" s="87">
        <v>-17.059999999999999</v>
      </c>
      <c r="L45" s="25">
        <v>2583</v>
      </c>
      <c r="M45" s="87">
        <v>-1.19</v>
      </c>
      <c r="N45" s="25">
        <v>3202</v>
      </c>
      <c r="O45" s="87">
        <v>53.28</v>
      </c>
      <c r="P45" s="25">
        <v>3092</v>
      </c>
      <c r="Q45" s="87">
        <v>-2.09</v>
      </c>
    </row>
    <row r="46" spans="1:17" s="100" customFormat="1" ht="12" customHeight="1" x14ac:dyDescent="0.4">
      <c r="A46" s="21" t="s">
        <v>45</v>
      </c>
      <c r="B46" s="22">
        <v>1800</v>
      </c>
      <c r="C46" s="84">
        <v>-7.69</v>
      </c>
      <c r="D46" s="22">
        <v>2447</v>
      </c>
      <c r="E46" s="84">
        <v>19.37</v>
      </c>
      <c r="F46" s="22">
        <v>2394</v>
      </c>
      <c r="G46" s="84">
        <v>-15.2</v>
      </c>
      <c r="H46" s="23">
        <v>1550</v>
      </c>
      <c r="I46" s="85">
        <v>-7.35</v>
      </c>
      <c r="J46" s="22">
        <v>1711</v>
      </c>
      <c r="K46" s="84">
        <v>-14.66</v>
      </c>
      <c r="L46" s="22">
        <v>2242</v>
      </c>
      <c r="M46" s="84">
        <v>-9.19</v>
      </c>
      <c r="N46" s="22">
        <v>2025</v>
      </c>
      <c r="O46" s="84">
        <v>-11.3</v>
      </c>
      <c r="P46" s="23">
        <v>1644</v>
      </c>
      <c r="Q46" s="85">
        <v>-8.11</v>
      </c>
    </row>
    <row r="47" spans="1:17" s="100" customFormat="1" ht="12" customHeight="1" x14ac:dyDescent="0.4">
      <c r="A47" s="30" t="s">
        <v>46</v>
      </c>
      <c r="B47" s="31">
        <v>992</v>
      </c>
      <c r="C47" s="88">
        <v>-10.31</v>
      </c>
      <c r="D47" s="31">
        <v>1831</v>
      </c>
      <c r="E47" s="88">
        <v>-2.29</v>
      </c>
      <c r="F47" s="31">
        <v>1224</v>
      </c>
      <c r="G47" s="88">
        <v>-40.35</v>
      </c>
      <c r="H47" s="31">
        <v>890</v>
      </c>
      <c r="I47" s="88">
        <v>-12.92</v>
      </c>
      <c r="J47" s="31">
        <v>916</v>
      </c>
      <c r="K47" s="88">
        <v>-15.03</v>
      </c>
      <c r="L47" s="31">
        <v>1508</v>
      </c>
      <c r="M47" s="88">
        <v>-24.3</v>
      </c>
      <c r="N47" s="95">
        <v>1053</v>
      </c>
      <c r="O47" s="156">
        <v>-6.48</v>
      </c>
      <c r="P47" s="31">
        <v>918</v>
      </c>
      <c r="Q47" s="88">
        <v>-9.1999999999999993</v>
      </c>
    </row>
    <row r="48" spans="1:17" s="100" customFormat="1" ht="12" customHeight="1" x14ac:dyDescent="0.4">
      <c r="A48" s="122" t="s">
        <v>62</v>
      </c>
      <c r="B48" s="123"/>
      <c r="C48" s="124"/>
      <c r="D48" s="123"/>
      <c r="E48" s="124"/>
      <c r="F48" s="123"/>
      <c r="G48" s="124"/>
      <c r="H48" s="123"/>
      <c r="I48" s="124"/>
      <c r="J48" s="123"/>
      <c r="K48" s="124"/>
      <c r="L48" s="123"/>
      <c r="M48" s="124"/>
      <c r="N48" s="123"/>
      <c r="O48" s="124"/>
      <c r="P48" s="123"/>
      <c r="Q48" s="124"/>
    </row>
    <row r="49" spans="1:25" s="100" customFormat="1" ht="12" customHeight="1" x14ac:dyDescent="0.4">
      <c r="A49" s="15" t="s">
        <v>63</v>
      </c>
      <c r="B49" s="32">
        <v>3909</v>
      </c>
      <c r="C49" s="91">
        <v>0.08</v>
      </c>
      <c r="D49" s="32">
        <v>3678</v>
      </c>
      <c r="E49" s="91">
        <v>2.37</v>
      </c>
      <c r="F49" s="32">
        <v>4320</v>
      </c>
      <c r="G49" s="91">
        <v>0.93</v>
      </c>
      <c r="H49" s="32">
        <v>3996</v>
      </c>
      <c r="I49" s="91">
        <v>0.93</v>
      </c>
      <c r="J49" s="32">
        <v>3960</v>
      </c>
      <c r="K49" s="91">
        <v>1.85</v>
      </c>
      <c r="L49" s="32">
        <v>3917</v>
      </c>
      <c r="M49" s="91">
        <v>-1.38</v>
      </c>
      <c r="N49" s="32">
        <v>4007</v>
      </c>
      <c r="O49" s="91">
        <v>0.96</v>
      </c>
      <c r="P49" s="32">
        <v>4218</v>
      </c>
      <c r="Q49" s="91">
        <v>2.88</v>
      </c>
    </row>
    <row r="50" spans="1:25" s="100" customFormat="1" ht="12" customHeight="1" x14ac:dyDescent="0.4">
      <c r="A50" s="33" t="s">
        <v>64</v>
      </c>
      <c r="B50" s="96" t="s">
        <v>58</v>
      </c>
      <c r="C50" s="117" t="s">
        <v>59</v>
      </c>
      <c r="D50" s="34">
        <v>3680</v>
      </c>
      <c r="E50" s="90">
        <v>-3.06</v>
      </c>
      <c r="F50" s="34">
        <v>4462</v>
      </c>
      <c r="G50" s="90">
        <v>2.6</v>
      </c>
      <c r="H50" s="34">
        <v>4125</v>
      </c>
      <c r="I50" s="90">
        <v>3.13</v>
      </c>
      <c r="J50" s="34">
        <v>4360</v>
      </c>
      <c r="K50" s="90">
        <v>-1.38</v>
      </c>
      <c r="L50" s="34">
        <v>3758</v>
      </c>
      <c r="M50" s="90">
        <v>-3.44</v>
      </c>
      <c r="N50" s="34">
        <v>3718</v>
      </c>
      <c r="O50" s="90">
        <v>-7.35</v>
      </c>
      <c r="P50" s="34">
        <v>4785</v>
      </c>
      <c r="Q50" s="90">
        <v>-0.31</v>
      </c>
    </row>
    <row r="51" spans="1:25" s="100" customFormat="1" ht="12" customHeight="1" x14ac:dyDescent="0.4">
      <c r="A51" s="15" t="s">
        <v>65</v>
      </c>
      <c r="B51" s="32">
        <v>7517</v>
      </c>
      <c r="C51" s="91">
        <v>-0.44</v>
      </c>
      <c r="D51" s="32">
        <v>9158</v>
      </c>
      <c r="E51" s="91">
        <v>3.19</v>
      </c>
      <c r="F51" s="32">
        <v>7668</v>
      </c>
      <c r="G51" s="91">
        <v>-2.34</v>
      </c>
      <c r="H51" s="32">
        <v>8156</v>
      </c>
      <c r="I51" s="91">
        <v>7.95</v>
      </c>
      <c r="J51" s="32">
        <v>7567</v>
      </c>
      <c r="K51" s="91">
        <v>0.09</v>
      </c>
      <c r="L51" s="32">
        <v>7433</v>
      </c>
      <c r="M51" s="91">
        <v>-3.47</v>
      </c>
      <c r="N51" s="32">
        <v>9855</v>
      </c>
      <c r="O51" s="91">
        <v>11.19</v>
      </c>
      <c r="P51" s="32">
        <v>11583</v>
      </c>
      <c r="Q51" s="91">
        <v>11.85</v>
      </c>
    </row>
    <row r="52" spans="1:25" s="100" customFormat="1" ht="12" customHeight="1" x14ac:dyDescent="0.4">
      <c r="A52" s="33" t="s">
        <v>66</v>
      </c>
      <c r="B52" s="96" t="s">
        <v>58</v>
      </c>
      <c r="C52" s="117" t="s">
        <v>59</v>
      </c>
      <c r="D52" s="34">
        <v>9305</v>
      </c>
      <c r="E52" s="90">
        <v>1.82</v>
      </c>
      <c r="F52" s="34">
        <v>7224</v>
      </c>
      <c r="G52" s="90">
        <v>-1.45</v>
      </c>
      <c r="H52" s="96" t="s">
        <v>58</v>
      </c>
      <c r="I52" s="117" t="s">
        <v>59</v>
      </c>
      <c r="J52" s="96" t="s">
        <v>58</v>
      </c>
      <c r="K52" s="117" t="s">
        <v>59</v>
      </c>
      <c r="L52" s="34">
        <v>7000</v>
      </c>
      <c r="M52" s="90">
        <v>0.24</v>
      </c>
      <c r="N52" s="34">
        <v>7198</v>
      </c>
      <c r="O52" s="90">
        <v>1.82</v>
      </c>
      <c r="P52" s="34">
        <v>7389</v>
      </c>
      <c r="Q52" s="90">
        <v>3.59</v>
      </c>
    </row>
    <row r="53" spans="1:25" s="100" customFormat="1" ht="12" customHeight="1" x14ac:dyDescent="0.4">
      <c r="A53" s="15" t="s">
        <v>67</v>
      </c>
      <c r="B53" s="32">
        <v>6733</v>
      </c>
      <c r="C53" s="91">
        <v>-0.65</v>
      </c>
      <c r="D53" s="32">
        <v>6643</v>
      </c>
      <c r="E53" s="91">
        <v>0.02</v>
      </c>
      <c r="F53" s="32">
        <v>7296</v>
      </c>
      <c r="G53" s="91">
        <v>0.45</v>
      </c>
      <c r="H53" s="32">
        <v>7038</v>
      </c>
      <c r="I53" s="91">
        <v>1.05</v>
      </c>
      <c r="J53" s="32">
        <v>6767</v>
      </c>
      <c r="K53" s="91">
        <v>-3.7</v>
      </c>
      <c r="L53" s="32">
        <v>6807</v>
      </c>
      <c r="M53" s="91">
        <v>0.15</v>
      </c>
      <c r="N53" s="32">
        <v>6444</v>
      </c>
      <c r="O53" s="91">
        <v>-2.13</v>
      </c>
      <c r="P53" s="32">
        <v>7099</v>
      </c>
      <c r="Q53" s="91">
        <v>4.47</v>
      </c>
    </row>
    <row r="54" spans="1:25" s="100" customFormat="1" ht="12" customHeight="1" x14ac:dyDescent="0.4">
      <c r="A54" s="33" t="s">
        <v>68</v>
      </c>
      <c r="B54" s="34">
        <v>2189</v>
      </c>
      <c r="C54" s="90">
        <v>-0.05</v>
      </c>
      <c r="D54" s="34">
        <v>1912</v>
      </c>
      <c r="E54" s="90">
        <v>-9.2100000000000009</v>
      </c>
      <c r="F54" s="96" t="s">
        <v>58</v>
      </c>
      <c r="G54" s="117" t="s">
        <v>59</v>
      </c>
      <c r="H54" s="34">
        <v>2348</v>
      </c>
      <c r="I54" s="92">
        <v>1.87</v>
      </c>
      <c r="J54" s="34">
        <v>2275</v>
      </c>
      <c r="K54" s="90">
        <v>-1.94</v>
      </c>
      <c r="L54" s="34">
        <v>2508</v>
      </c>
      <c r="M54" s="90">
        <v>-7.83</v>
      </c>
      <c r="N54" s="34">
        <v>1970</v>
      </c>
      <c r="O54" s="90">
        <v>-4.78</v>
      </c>
      <c r="P54" s="34">
        <v>3138</v>
      </c>
      <c r="Q54" s="90">
        <v>12.15</v>
      </c>
    </row>
    <row r="55" spans="1:25" s="100" customFormat="1" ht="12" customHeight="1" x14ac:dyDescent="0.4">
      <c r="A55" s="15" t="s">
        <v>69</v>
      </c>
      <c r="B55" s="106" t="s">
        <v>58</v>
      </c>
      <c r="C55" s="118" t="s">
        <v>59</v>
      </c>
      <c r="D55" s="32">
        <v>437</v>
      </c>
      <c r="E55" s="93">
        <v>-10.82</v>
      </c>
      <c r="F55" s="112" t="s">
        <v>58</v>
      </c>
      <c r="G55" s="118" t="s">
        <v>59</v>
      </c>
      <c r="H55" s="32">
        <v>497</v>
      </c>
      <c r="I55" s="91">
        <v>-9.9600000000000009</v>
      </c>
      <c r="J55" s="32">
        <v>489</v>
      </c>
      <c r="K55" s="91">
        <v>-8.77</v>
      </c>
      <c r="L55" s="32">
        <v>436</v>
      </c>
      <c r="M55" s="91">
        <v>-10.66</v>
      </c>
      <c r="N55" s="32">
        <v>467</v>
      </c>
      <c r="O55" s="91">
        <v>-8.9700000000000006</v>
      </c>
      <c r="P55" s="32">
        <v>496</v>
      </c>
      <c r="Q55" s="91">
        <v>-6.94</v>
      </c>
    </row>
    <row r="56" spans="1:25" s="102" customFormat="1" ht="12" customHeight="1" x14ac:dyDescent="0.45">
      <c r="A56" s="33" t="s">
        <v>70</v>
      </c>
      <c r="B56" s="34">
        <v>20167</v>
      </c>
      <c r="C56" s="90">
        <v>5.77</v>
      </c>
      <c r="D56" s="34">
        <v>19933</v>
      </c>
      <c r="E56" s="90">
        <v>-9.26</v>
      </c>
      <c r="F56" s="34">
        <v>22500</v>
      </c>
      <c r="G56" s="90">
        <v>0.67</v>
      </c>
      <c r="H56" s="34">
        <v>21240</v>
      </c>
      <c r="I56" s="90">
        <v>-0.44</v>
      </c>
      <c r="J56" s="34">
        <v>19792</v>
      </c>
      <c r="K56" s="90">
        <v>-8.65</v>
      </c>
      <c r="L56" s="34">
        <v>24250</v>
      </c>
      <c r="M56" s="90">
        <v>-3.96</v>
      </c>
      <c r="N56" s="34">
        <v>25550</v>
      </c>
      <c r="O56" s="90">
        <v>5.55</v>
      </c>
      <c r="P56" s="96" t="s">
        <v>58</v>
      </c>
      <c r="Q56" s="117" t="s">
        <v>59</v>
      </c>
      <c r="R56" s="135"/>
      <c r="S56" s="87"/>
      <c r="T56" s="135"/>
      <c r="U56" s="87"/>
      <c r="V56" s="135"/>
      <c r="W56" s="86"/>
      <c r="X56" s="135"/>
      <c r="Y56" s="87"/>
    </row>
    <row r="57" spans="1:25" s="38" customFormat="1" ht="12" customHeight="1" x14ac:dyDescent="0.45">
      <c r="A57" s="15" t="s">
        <v>86</v>
      </c>
      <c r="B57" s="32">
        <v>19333</v>
      </c>
      <c r="C57" s="91">
        <v>-0.69</v>
      </c>
      <c r="D57" s="32">
        <v>16806</v>
      </c>
      <c r="E57" s="91">
        <v>-7.35</v>
      </c>
      <c r="F57" s="106" t="s">
        <v>58</v>
      </c>
      <c r="G57" s="118" t="s">
        <v>59</v>
      </c>
      <c r="H57" s="32">
        <v>19333</v>
      </c>
      <c r="I57" s="128">
        <v>-2.0299999999999998</v>
      </c>
      <c r="J57" s="32">
        <v>22188</v>
      </c>
      <c r="K57" s="91">
        <v>2.48</v>
      </c>
      <c r="L57" s="32" t="s">
        <v>58</v>
      </c>
      <c r="M57" s="157" t="s">
        <v>59</v>
      </c>
      <c r="N57" s="32">
        <v>18820</v>
      </c>
      <c r="O57" s="91">
        <v>-2.46</v>
      </c>
      <c r="P57" s="32">
        <v>21000</v>
      </c>
      <c r="Q57" s="91">
        <v>-0.94</v>
      </c>
      <c r="S57" s="94"/>
      <c r="U57" s="94"/>
      <c r="W57" s="94"/>
      <c r="Y57" s="94"/>
    </row>
    <row r="58" spans="1:25" s="38" customFormat="1" ht="12" customHeight="1" x14ac:dyDescent="0.45">
      <c r="A58" s="33" t="s">
        <v>87</v>
      </c>
      <c r="B58" s="34">
        <v>25500</v>
      </c>
      <c r="C58" s="90">
        <v>-0.39</v>
      </c>
      <c r="D58" s="34">
        <v>25677</v>
      </c>
      <c r="E58" s="90">
        <v>-4.25</v>
      </c>
      <c r="F58" s="34" t="s">
        <v>58</v>
      </c>
      <c r="G58" s="158" t="s">
        <v>59</v>
      </c>
      <c r="H58" s="34">
        <v>25677</v>
      </c>
      <c r="I58" s="90">
        <v>-1.81</v>
      </c>
      <c r="J58" s="80">
        <v>29994</v>
      </c>
      <c r="K58" s="126">
        <v>-0.43</v>
      </c>
      <c r="L58" s="34">
        <v>26467</v>
      </c>
      <c r="M58" s="90">
        <v>-1.52</v>
      </c>
      <c r="N58" s="34">
        <v>32673</v>
      </c>
      <c r="O58" s="90">
        <v>-0.46</v>
      </c>
      <c r="P58" s="34">
        <v>27500</v>
      </c>
      <c r="Q58" s="90">
        <v>0</v>
      </c>
      <c r="S58" s="94"/>
      <c r="U58" s="94"/>
      <c r="W58" s="94"/>
      <c r="Y58" s="94"/>
    </row>
    <row r="59" spans="1:25" s="38" customFormat="1" ht="12" customHeight="1" x14ac:dyDescent="0.45">
      <c r="A59" s="15" t="s">
        <v>71</v>
      </c>
      <c r="B59" s="32">
        <v>11175</v>
      </c>
      <c r="C59" s="91">
        <v>-0.46</v>
      </c>
      <c r="D59" s="32">
        <v>16238</v>
      </c>
      <c r="E59" s="91">
        <v>1.65</v>
      </c>
      <c r="F59" s="32">
        <v>16833</v>
      </c>
      <c r="G59" s="91">
        <v>0</v>
      </c>
      <c r="H59" s="32">
        <v>11944</v>
      </c>
      <c r="I59" s="91">
        <v>-8.44</v>
      </c>
      <c r="J59" s="32">
        <v>13800</v>
      </c>
      <c r="K59" s="91">
        <v>1.28</v>
      </c>
      <c r="L59" s="32">
        <v>13127</v>
      </c>
      <c r="M59" s="91">
        <v>3.53</v>
      </c>
      <c r="N59" s="32">
        <v>14060</v>
      </c>
      <c r="O59" s="91">
        <v>-3.62</v>
      </c>
      <c r="P59" s="106" t="s">
        <v>58</v>
      </c>
      <c r="Q59" s="118" t="s">
        <v>59</v>
      </c>
      <c r="S59" s="94"/>
      <c r="U59" s="94"/>
      <c r="W59" s="94"/>
      <c r="Y59" s="94"/>
    </row>
    <row r="60" spans="1:25" s="38" customFormat="1" ht="12" customHeight="1" x14ac:dyDescent="0.45">
      <c r="A60" s="33" t="s">
        <v>72</v>
      </c>
      <c r="B60" s="34">
        <v>8838</v>
      </c>
      <c r="C60" s="90">
        <v>-0.23</v>
      </c>
      <c r="D60" s="119">
        <v>8483</v>
      </c>
      <c r="E60" s="117" t="s">
        <v>59</v>
      </c>
      <c r="F60" s="34">
        <v>7899</v>
      </c>
      <c r="G60" s="90">
        <v>-2.0099999999999998</v>
      </c>
      <c r="H60" s="34">
        <v>8849</v>
      </c>
      <c r="I60" s="92">
        <v>-5.08</v>
      </c>
      <c r="J60" s="34">
        <v>12354</v>
      </c>
      <c r="K60" s="90">
        <v>1.61</v>
      </c>
      <c r="L60" s="96" t="s">
        <v>58</v>
      </c>
      <c r="M60" s="117" t="s">
        <v>59</v>
      </c>
      <c r="N60" s="34">
        <v>7573</v>
      </c>
      <c r="O60" s="90">
        <v>-0.55000000000000004</v>
      </c>
      <c r="P60" s="34">
        <v>8858</v>
      </c>
      <c r="Q60" s="90">
        <v>-1.1100000000000001</v>
      </c>
      <c r="S60" s="94"/>
      <c r="U60" s="94"/>
      <c r="W60" s="94"/>
      <c r="Y60" s="94"/>
    </row>
    <row r="61" spans="1:25" s="38" customFormat="1" ht="12" customHeight="1" x14ac:dyDescent="0.45">
      <c r="A61" s="15" t="s">
        <v>73</v>
      </c>
      <c r="B61" s="32">
        <v>4176</v>
      </c>
      <c r="C61" s="91">
        <v>0.05</v>
      </c>
      <c r="D61" s="32">
        <v>4115</v>
      </c>
      <c r="E61" s="91">
        <v>-4.0599999999999996</v>
      </c>
      <c r="F61" s="32">
        <v>4184</v>
      </c>
      <c r="G61" s="91">
        <v>-1.51</v>
      </c>
      <c r="H61" s="32">
        <v>3785</v>
      </c>
      <c r="I61" s="91">
        <v>-2.92</v>
      </c>
      <c r="J61" s="32">
        <v>4020</v>
      </c>
      <c r="K61" s="91">
        <v>-1.1599999999999999</v>
      </c>
      <c r="L61" s="106" t="s">
        <v>58</v>
      </c>
      <c r="M61" s="118" t="s">
        <v>59</v>
      </c>
      <c r="N61" s="32">
        <v>3927</v>
      </c>
      <c r="O61" s="91">
        <v>-8.27</v>
      </c>
      <c r="P61" s="106" t="s">
        <v>58</v>
      </c>
      <c r="Q61" s="118" t="s">
        <v>59</v>
      </c>
      <c r="S61" s="94"/>
      <c r="U61" s="94"/>
      <c r="W61" s="94"/>
      <c r="Y61" s="94"/>
    </row>
    <row r="62" spans="1:25" s="38" customFormat="1" ht="12" customHeight="1" x14ac:dyDescent="0.45">
      <c r="A62" s="33" t="s">
        <v>74</v>
      </c>
      <c r="B62" s="34">
        <v>13559</v>
      </c>
      <c r="C62" s="90">
        <v>-0.1</v>
      </c>
      <c r="D62" s="34">
        <v>14497</v>
      </c>
      <c r="E62" s="90">
        <v>-0.9</v>
      </c>
      <c r="F62" s="34">
        <v>16649</v>
      </c>
      <c r="G62" s="90">
        <v>3.59</v>
      </c>
      <c r="H62" s="34">
        <v>13890</v>
      </c>
      <c r="I62" s="90">
        <v>1.79</v>
      </c>
      <c r="J62" s="34">
        <v>16223</v>
      </c>
      <c r="K62" s="90">
        <v>0.61</v>
      </c>
      <c r="L62" s="34">
        <v>15648</v>
      </c>
      <c r="M62" s="103">
        <v>1.88</v>
      </c>
      <c r="N62" s="34">
        <v>14317</v>
      </c>
      <c r="O62" s="90">
        <v>1.7</v>
      </c>
      <c r="P62" s="34">
        <v>18208</v>
      </c>
      <c r="Q62" s="90">
        <v>0</v>
      </c>
      <c r="S62" s="94"/>
      <c r="U62" s="94"/>
      <c r="W62" s="94"/>
      <c r="Y62" s="94"/>
    </row>
    <row r="63" spans="1:25" s="38" customFormat="1" ht="12" customHeight="1" x14ac:dyDescent="0.45">
      <c r="A63" s="15" t="s">
        <v>75</v>
      </c>
      <c r="B63" s="32">
        <v>2795</v>
      </c>
      <c r="C63" s="91">
        <v>7.0000000000000007E-2</v>
      </c>
      <c r="D63" s="32">
        <v>3106</v>
      </c>
      <c r="E63" s="91">
        <v>-4.05</v>
      </c>
      <c r="F63" s="32">
        <v>3985</v>
      </c>
      <c r="G63" s="91">
        <v>-0.85</v>
      </c>
      <c r="H63" s="32">
        <v>2899</v>
      </c>
      <c r="I63" s="91">
        <v>-4.29</v>
      </c>
      <c r="J63" s="32">
        <v>5147</v>
      </c>
      <c r="K63" s="91">
        <v>-2.2200000000000002</v>
      </c>
      <c r="L63" s="32">
        <v>3425</v>
      </c>
      <c r="M63" s="107">
        <v>-2.62</v>
      </c>
      <c r="N63" s="32">
        <v>3786</v>
      </c>
      <c r="O63" s="91">
        <v>-2.27</v>
      </c>
      <c r="P63" s="32">
        <v>4490</v>
      </c>
      <c r="Q63" s="91">
        <v>0.02</v>
      </c>
      <c r="S63" s="94"/>
      <c r="U63" s="94"/>
      <c r="W63" s="94"/>
      <c r="Y63" s="94"/>
    </row>
    <row r="64" spans="1:25" s="38" customFormat="1" ht="12" customHeight="1" x14ac:dyDescent="0.45">
      <c r="A64" s="33" t="s">
        <v>76</v>
      </c>
      <c r="B64" s="34">
        <v>3170</v>
      </c>
      <c r="C64" s="90">
        <v>0.28000000000000003</v>
      </c>
      <c r="D64" s="34">
        <v>3924</v>
      </c>
      <c r="E64" s="103">
        <v>0.72</v>
      </c>
      <c r="F64" s="34">
        <v>3350</v>
      </c>
      <c r="G64" s="90">
        <v>-0.27</v>
      </c>
      <c r="H64" s="34">
        <v>4016</v>
      </c>
      <c r="I64" s="90">
        <v>-1.35</v>
      </c>
      <c r="J64" s="34">
        <v>5389</v>
      </c>
      <c r="K64" s="92">
        <v>-0.31</v>
      </c>
      <c r="L64" s="34">
        <v>3050</v>
      </c>
      <c r="M64" s="90">
        <v>-1.61</v>
      </c>
      <c r="N64" s="34" t="s">
        <v>58</v>
      </c>
      <c r="O64" s="117" t="s">
        <v>59</v>
      </c>
      <c r="P64" s="34">
        <v>4226</v>
      </c>
      <c r="Q64" s="90">
        <v>0</v>
      </c>
      <c r="S64" s="94"/>
      <c r="U64" s="94"/>
      <c r="W64" s="94"/>
      <c r="Y64" s="94"/>
    </row>
    <row r="65" spans="1:25" s="38" customFormat="1" ht="12" customHeight="1" x14ac:dyDescent="0.45">
      <c r="A65" s="15" t="s">
        <v>77</v>
      </c>
      <c r="B65" s="32">
        <v>33572</v>
      </c>
      <c r="C65" s="91">
        <v>0.16</v>
      </c>
      <c r="D65" s="32">
        <v>36768</v>
      </c>
      <c r="E65" s="93">
        <v>1.04</v>
      </c>
      <c r="F65" s="110" t="s">
        <v>58</v>
      </c>
      <c r="G65" s="118" t="s">
        <v>59</v>
      </c>
      <c r="H65" s="32">
        <v>36806</v>
      </c>
      <c r="I65" s="91">
        <v>4.95</v>
      </c>
      <c r="J65" s="32">
        <v>35417</v>
      </c>
      <c r="K65" s="93">
        <v>-0.13</v>
      </c>
      <c r="L65" s="32" t="s">
        <v>58</v>
      </c>
      <c r="M65" s="118" t="s">
        <v>59</v>
      </c>
      <c r="N65" s="32">
        <v>35694</v>
      </c>
      <c r="O65" s="91">
        <v>6.97</v>
      </c>
      <c r="P65" s="110" t="s">
        <v>58</v>
      </c>
      <c r="Q65" s="118" t="s">
        <v>59</v>
      </c>
      <c r="S65" s="94"/>
      <c r="U65" s="94"/>
      <c r="W65" s="94"/>
      <c r="Y65" s="94"/>
    </row>
    <row r="66" spans="1:25" s="38" customFormat="1" ht="12" customHeight="1" x14ac:dyDescent="0.45">
      <c r="A66" s="33" t="s">
        <v>78</v>
      </c>
      <c r="B66" s="34">
        <v>38914</v>
      </c>
      <c r="C66" s="126">
        <v>0.02</v>
      </c>
      <c r="D66" s="34">
        <v>29408</v>
      </c>
      <c r="E66" s="90">
        <v>1.34</v>
      </c>
      <c r="F66" s="34">
        <v>35558</v>
      </c>
      <c r="G66" s="90">
        <v>0.08</v>
      </c>
      <c r="H66" s="111" t="s">
        <v>58</v>
      </c>
      <c r="I66" s="117" t="s">
        <v>59</v>
      </c>
      <c r="J66" s="34">
        <v>30127</v>
      </c>
      <c r="K66" s="90">
        <v>-2.44</v>
      </c>
      <c r="L66" s="34">
        <v>30433</v>
      </c>
      <c r="M66" s="90">
        <v>0.03</v>
      </c>
      <c r="N66" s="34">
        <v>31819</v>
      </c>
      <c r="O66" s="90">
        <v>-2.4900000000000002</v>
      </c>
      <c r="P66" s="34">
        <v>34364</v>
      </c>
      <c r="Q66" s="90">
        <v>-4.3899999999999997</v>
      </c>
      <c r="S66" s="94"/>
      <c r="U66" s="94"/>
      <c r="W66" s="94"/>
      <c r="Y66" s="94"/>
    </row>
    <row r="67" spans="1:25" s="38" customFormat="1" ht="12" customHeight="1" x14ac:dyDescent="0.45">
      <c r="A67" s="15" t="s">
        <v>79</v>
      </c>
      <c r="B67" s="112">
        <v>16553</v>
      </c>
      <c r="C67" s="107">
        <v>-0.37</v>
      </c>
      <c r="D67" s="32">
        <v>14464</v>
      </c>
      <c r="E67" s="91">
        <v>-1.75</v>
      </c>
      <c r="F67" s="32">
        <v>16966</v>
      </c>
      <c r="G67" s="91">
        <v>0.69</v>
      </c>
      <c r="H67" s="106" t="s">
        <v>58</v>
      </c>
      <c r="I67" s="118" t="s">
        <v>59</v>
      </c>
      <c r="J67" s="32">
        <v>26208</v>
      </c>
      <c r="K67" s="91">
        <v>-0.22</v>
      </c>
      <c r="L67" s="110" t="s">
        <v>58</v>
      </c>
      <c r="M67" s="118" t="s">
        <v>59</v>
      </c>
      <c r="N67" s="32">
        <v>14409</v>
      </c>
      <c r="O67" s="91">
        <v>0.25</v>
      </c>
      <c r="P67" s="32">
        <v>19118</v>
      </c>
      <c r="Q67" s="91">
        <v>-2.02</v>
      </c>
      <c r="R67" s="136"/>
      <c r="S67" s="40"/>
      <c r="T67" s="136"/>
      <c r="U67" s="40"/>
      <c r="V67" s="136"/>
      <c r="W67" s="40"/>
      <c r="X67" s="136"/>
      <c r="Y67" s="40"/>
    </row>
    <row r="68" spans="1:25" s="38" customFormat="1" ht="12" customHeight="1" x14ac:dyDescent="0.45">
      <c r="A68" s="33" t="s">
        <v>80</v>
      </c>
      <c r="B68" s="34">
        <v>4402</v>
      </c>
      <c r="C68" s="90">
        <v>1.48</v>
      </c>
      <c r="D68" s="34">
        <v>3509</v>
      </c>
      <c r="E68" s="90">
        <v>1.07</v>
      </c>
      <c r="F68" s="34">
        <v>3707</v>
      </c>
      <c r="G68" s="90">
        <v>1.1200000000000001</v>
      </c>
      <c r="H68" s="96" t="s">
        <v>58</v>
      </c>
      <c r="I68" s="117" t="s">
        <v>59</v>
      </c>
      <c r="J68" s="34">
        <v>5503</v>
      </c>
      <c r="K68" s="90">
        <v>-1.92</v>
      </c>
      <c r="L68" s="119">
        <v>3439</v>
      </c>
      <c r="M68" s="103">
        <v>0.97</v>
      </c>
      <c r="N68" s="34">
        <v>4361</v>
      </c>
      <c r="O68" s="90">
        <v>0.25</v>
      </c>
      <c r="P68" s="34">
        <v>5050</v>
      </c>
      <c r="Q68" s="90">
        <v>0.6</v>
      </c>
      <c r="R68" s="136"/>
      <c r="S68" s="40"/>
      <c r="T68" s="136"/>
      <c r="U68" s="40"/>
      <c r="V68" s="136"/>
      <c r="W68" s="40"/>
      <c r="X68" s="136"/>
      <c r="Y68" s="40"/>
    </row>
    <row r="69" spans="1:25" s="38" customFormat="1" ht="12" customHeight="1" x14ac:dyDescent="0.45">
      <c r="A69" s="15" t="s">
        <v>81</v>
      </c>
      <c r="B69" s="32">
        <v>6839</v>
      </c>
      <c r="C69" s="91">
        <v>0.12</v>
      </c>
      <c r="D69" s="32">
        <v>7359</v>
      </c>
      <c r="E69" s="91">
        <v>-0.24</v>
      </c>
      <c r="F69" s="32">
        <v>7287</v>
      </c>
      <c r="G69" s="91">
        <v>-3.1</v>
      </c>
      <c r="H69" s="32">
        <v>6709</v>
      </c>
      <c r="I69" s="91">
        <v>0.25</v>
      </c>
      <c r="J69" s="32">
        <v>7274</v>
      </c>
      <c r="K69" s="91">
        <v>-5.63</v>
      </c>
      <c r="L69" s="32">
        <v>3882</v>
      </c>
      <c r="M69" s="91">
        <v>-1.07</v>
      </c>
      <c r="N69" s="32">
        <v>7673</v>
      </c>
      <c r="O69" s="91">
        <v>-5</v>
      </c>
      <c r="P69" s="32">
        <v>6852</v>
      </c>
      <c r="Q69" s="91">
        <v>0</v>
      </c>
      <c r="R69" s="136"/>
      <c r="S69" s="40"/>
      <c r="T69" s="136"/>
      <c r="U69" s="40"/>
      <c r="V69" s="136"/>
      <c r="W69" s="40"/>
      <c r="X69" s="136"/>
      <c r="Y69" s="40"/>
    </row>
    <row r="70" spans="1:25" s="38" customFormat="1" ht="12" customHeight="1" x14ac:dyDescent="0.45">
      <c r="A70" s="33" t="s">
        <v>82</v>
      </c>
      <c r="B70" s="34">
        <v>18797</v>
      </c>
      <c r="C70" s="90">
        <v>0.26</v>
      </c>
      <c r="D70" s="34">
        <v>19252</v>
      </c>
      <c r="E70" s="126">
        <v>2.79</v>
      </c>
      <c r="F70" s="34">
        <v>16491</v>
      </c>
      <c r="G70" s="90">
        <v>-1.9</v>
      </c>
      <c r="H70" s="34">
        <v>19629</v>
      </c>
      <c r="I70" s="90">
        <v>4.88</v>
      </c>
      <c r="J70" s="34">
        <v>21123</v>
      </c>
      <c r="K70" s="90">
        <v>-0.16</v>
      </c>
      <c r="L70" s="34">
        <v>13971</v>
      </c>
      <c r="M70" s="90">
        <v>-0.57999999999999996</v>
      </c>
      <c r="N70" s="34">
        <v>20985</v>
      </c>
      <c r="O70" s="90">
        <v>2.65</v>
      </c>
      <c r="P70" s="34" t="s">
        <v>58</v>
      </c>
      <c r="Q70" s="158" t="s">
        <v>59</v>
      </c>
      <c r="R70" s="136"/>
      <c r="S70" s="40"/>
      <c r="T70" s="136"/>
      <c r="U70" s="40"/>
      <c r="V70" s="136"/>
      <c r="W70" s="40"/>
      <c r="X70" s="136"/>
      <c r="Y70" s="40"/>
    </row>
    <row r="71" spans="1:25" s="38" customFormat="1" ht="12" customHeight="1" x14ac:dyDescent="0.45">
      <c r="A71" s="159" t="s">
        <v>83</v>
      </c>
      <c r="B71" s="160">
        <v>14161</v>
      </c>
      <c r="C71" s="161">
        <v>0.65</v>
      </c>
      <c r="D71" s="162">
        <v>16080</v>
      </c>
      <c r="E71" s="163">
        <v>-2.5499999999999998</v>
      </c>
      <c r="F71" s="164" t="s">
        <v>58</v>
      </c>
      <c r="G71" s="165" t="s">
        <v>59</v>
      </c>
      <c r="H71" s="160">
        <v>11293</v>
      </c>
      <c r="I71" s="161">
        <v>0.87</v>
      </c>
      <c r="J71" s="160">
        <v>15339</v>
      </c>
      <c r="K71" s="161">
        <v>2.37</v>
      </c>
      <c r="L71" s="162">
        <v>17647</v>
      </c>
      <c r="M71" s="166">
        <v>0.93</v>
      </c>
      <c r="N71" s="160">
        <v>9773</v>
      </c>
      <c r="O71" s="167">
        <v>-3.04</v>
      </c>
      <c r="P71" s="160">
        <v>18168</v>
      </c>
      <c r="Q71" s="161">
        <v>1.37</v>
      </c>
      <c r="S71" s="94"/>
      <c r="U71" s="94"/>
      <c r="W71" s="94"/>
      <c r="Y71" s="94"/>
    </row>
    <row r="72" spans="1:25" s="38" customFormat="1" x14ac:dyDescent="0.45">
      <c r="A72" s="15"/>
      <c r="B72" s="32"/>
      <c r="C72" s="91"/>
      <c r="D72" s="112"/>
      <c r="E72" s="93"/>
      <c r="F72" s="110"/>
      <c r="G72" s="81"/>
      <c r="H72" s="32"/>
      <c r="I72" s="91"/>
      <c r="J72" s="32"/>
      <c r="K72" s="91"/>
      <c r="L72" s="112"/>
      <c r="M72" s="107"/>
      <c r="N72" s="110"/>
      <c r="O72" s="113"/>
      <c r="P72" s="32"/>
      <c r="Q72" s="91"/>
      <c r="R72" s="35"/>
      <c r="S72" s="36"/>
      <c r="T72" s="35"/>
      <c r="U72" s="36"/>
      <c r="V72" s="35"/>
      <c r="W72" s="36"/>
      <c r="X72" s="35"/>
      <c r="Y72" s="36"/>
    </row>
    <row r="73" spans="1:25" s="38" customFormat="1" x14ac:dyDescent="0.45">
      <c r="A73" s="24" t="s">
        <v>12</v>
      </c>
      <c r="B73" s="39"/>
      <c r="C73" s="40"/>
      <c r="D73" s="39"/>
      <c r="E73" s="40"/>
      <c r="F73" s="39"/>
      <c r="G73" s="40"/>
      <c r="H73" s="39"/>
      <c r="I73" s="40"/>
      <c r="J73" s="39"/>
      <c r="K73" s="40"/>
      <c r="L73" s="39"/>
      <c r="M73" s="40"/>
      <c r="N73" s="39"/>
      <c r="O73" s="40"/>
      <c r="P73" s="39"/>
      <c r="Q73" s="40"/>
      <c r="R73" s="39"/>
      <c r="S73" s="40"/>
      <c r="T73" s="39"/>
      <c r="U73" s="40"/>
      <c r="V73" s="39"/>
      <c r="W73" s="40"/>
      <c r="X73" s="39"/>
      <c r="Y73" s="40"/>
    </row>
    <row r="74" spans="1:25" s="38" customFormat="1" x14ac:dyDescent="0.45">
      <c r="A74" s="41" t="s">
        <v>13</v>
      </c>
      <c r="B74" s="39"/>
      <c r="C74" s="40"/>
      <c r="D74" s="39"/>
      <c r="E74" s="40"/>
      <c r="F74" s="39"/>
      <c r="G74" s="40"/>
      <c r="H74" s="39"/>
      <c r="I74" s="40"/>
      <c r="J74" s="39"/>
      <c r="K74" s="40"/>
      <c r="L74" s="39"/>
      <c r="M74" s="40"/>
      <c r="N74" s="39"/>
      <c r="O74" s="40"/>
      <c r="P74" s="39"/>
      <c r="Q74" s="40"/>
      <c r="R74" s="39"/>
      <c r="S74" s="40"/>
      <c r="T74" s="39"/>
      <c r="U74" s="40"/>
      <c r="V74" s="39"/>
      <c r="W74" s="40"/>
      <c r="X74" s="39"/>
      <c r="Y74" s="40"/>
    </row>
    <row r="75" spans="1:25" s="38" customFormat="1" ht="19.5" customHeight="1" x14ac:dyDescent="0.45">
      <c r="A75" s="142" t="s">
        <v>49</v>
      </c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</row>
    <row r="76" spans="1:25" s="38" customFormat="1" x14ac:dyDescent="0.45">
      <c r="A76" s="24" t="s">
        <v>14</v>
      </c>
      <c r="B76" s="42"/>
      <c r="C76" s="43"/>
      <c r="D76" s="44"/>
      <c r="E76" s="43"/>
      <c r="F76" s="44"/>
      <c r="G76" s="43"/>
      <c r="H76" s="45"/>
      <c r="I76" s="43"/>
      <c r="J76" s="42"/>
      <c r="K76" s="43"/>
      <c r="L76" s="44"/>
      <c r="M76" s="43"/>
      <c r="N76" s="44"/>
      <c r="O76" s="43"/>
      <c r="P76" s="45"/>
      <c r="Q76" s="43"/>
      <c r="R76" s="44"/>
      <c r="S76" s="46"/>
      <c r="T76" s="44"/>
      <c r="U76" s="46"/>
      <c r="V76" s="44"/>
      <c r="W76" s="46"/>
      <c r="X76" s="44"/>
      <c r="Y76" s="46"/>
    </row>
    <row r="77" spans="1:25" s="38" customFormat="1" x14ac:dyDescent="0.45">
      <c r="A77" s="47" t="s">
        <v>15</v>
      </c>
      <c r="B77" s="39"/>
      <c r="C77" s="40"/>
      <c r="D77" s="39"/>
      <c r="E77" s="40"/>
      <c r="F77" s="39"/>
      <c r="G77" s="40"/>
      <c r="H77" s="39"/>
      <c r="I77" s="40"/>
      <c r="J77" s="39"/>
      <c r="K77" s="40"/>
      <c r="L77" s="39"/>
      <c r="M77" s="40"/>
      <c r="N77" s="39"/>
      <c r="O77" s="40"/>
      <c r="P77" s="39"/>
      <c r="Q77" s="40"/>
      <c r="R77" s="39"/>
      <c r="S77" s="40"/>
      <c r="T77" s="39"/>
      <c r="U77" s="40"/>
      <c r="V77" s="39"/>
      <c r="W77" s="40"/>
      <c r="X77" s="39"/>
      <c r="Y77" s="40"/>
    </row>
    <row r="79" spans="1:25" x14ac:dyDescent="0.45">
      <c r="A79" s="8" t="str">
        <f>+Índice!A14</f>
        <v>Fecha de actualización: 8 de marzo de 2024</v>
      </c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</row>
  </sheetData>
  <mergeCells count="11">
    <mergeCell ref="A75:Y75"/>
    <mergeCell ref="A4:Q5"/>
    <mergeCell ref="H9:I9"/>
    <mergeCell ref="J9:K9"/>
    <mergeCell ref="L9:M9"/>
    <mergeCell ref="N9:O9"/>
    <mergeCell ref="P9:Q9"/>
    <mergeCell ref="A9:A10"/>
    <mergeCell ref="B9:C9"/>
    <mergeCell ref="D9:E9"/>
    <mergeCell ref="F9:G9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2012-A8C4-4438-9A11-59B020FA0AB4}">
  <dimension ref="A1:I55"/>
  <sheetViews>
    <sheetView showGridLines="0" topLeftCell="A4" zoomScale="70" zoomScaleNormal="70" workbookViewId="0">
      <selection activeCell="A6" sqref="A6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49" t="s">
        <v>0</v>
      </c>
      <c r="B4" s="149"/>
      <c r="C4" s="149"/>
      <c r="D4" s="149"/>
      <c r="E4" s="149"/>
      <c r="F4" s="149"/>
      <c r="G4" s="149"/>
      <c r="H4" s="149"/>
      <c r="I4" s="149"/>
    </row>
    <row r="5" spans="1:9" s="48" customFormat="1" ht="24" customHeight="1" x14ac:dyDescent="0.4">
      <c r="A5" s="149"/>
      <c r="B5" s="149"/>
      <c r="C5" s="149"/>
      <c r="D5" s="149"/>
      <c r="E5" s="149"/>
      <c r="F5" s="149"/>
      <c r="G5" s="149"/>
      <c r="H5" s="149"/>
      <c r="I5" s="149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año corrido. "&amp;Índice!A7</f>
        <v>Variación año corrido. Febrero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52" t="s">
        <v>2</v>
      </c>
      <c r="C9" s="52" t="s">
        <v>3</v>
      </c>
      <c r="D9" s="52" t="s">
        <v>4</v>
      </c>
      <c r="E9" s="53" t="s">
        <v>5</v>
      </c>
      <c r="F9" s="52" t="s">
        <v>6</v>
      </c>
      <c r="G9" s="52" t="s">
        <v>7</v>
      </c>
      <c r="H9" s="52" t="s">
        <v>8</v>
      </c>
      <c r="I9" s="52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1" t="s">
        <v>18</v>
      </c>
      <c r="B11" s="127" t="s">
        <v>59</v>
      </c>
      <c r="C11" s="56">
        <v>-25.033647375504707</v>
      </c>
      <c r="D11" s="56">
        <v>10.950413223140497</v>
      </c>
      <c r="E11" s="127" t="s">
        <v>59</v>
      </c>
      <c r="F11" s="56">
        <v>-43.360604153555691</v>
      </c>
      <c r="G11" s="56">
        <v>2.7239709443099169</v>
      </c>
      <c r="H11" s="56">
        <v>-19.38864628820961</v>
      </c>
      <c r="I11" s="56">
        <v>-0.68886337543053733</v>
      </c>
    </row>
    <row r="12" spans="1:9" ht="14" customHeight="1" x14ac:dyDescent="0.45">
      <c r="A12" s="97" t="s">
        <v>19</v>
      </c>
      <c r="B12" s="58">
        <v>-1.0052271813421054E-2</v>
      </c>
      <c r="C12" s="58">
        <v>9.9682287529785576</v>
      </c>
      <c r="D12" s="58">
        <v>24.979806138933782</v>
      </c>
      <c r="E12" s="129" t="s">
        <v>59</v>
      </c>
      <c r="F12" s="58">
        <v>-1.6906335017489282</v>
      </c>
      <c r="G12" s="58">
        <v>-1.3799699412488042</v>
      </c>
      <c r="H12" s="58">
        <v>48.741580999645521</v>
      </c>
      <c r="I12" s="125" t="s">
        <v>59</v>
      </c>
    </row>
    <row r="13" spans="1:9" ht="14" customHeight="1" x14ac:dyDescent="0.45">
      <c r="A13" s="1" t="s">
        <v>20</v>
      </c>
      <c r="B13" s="56">
        <v>-20.878136200716845</v>
      </c>
      <c r="C13" s="56">
        <v>-33.256616800920604</v>
      </c>
      <c r="D13" s="56">
        <v>-24.570751924215507</v>
      </c>
      <c r="E13" s="56">
        <v>-25.612472160356347</v>
      </c>
      <c r="F13" s="56">
        <v>-21.744791666666664</v>
      </c>
      <c r="G13" s="56">
        <v>-26.855670103092777</v>
      </c>
      <c r="H13" s="56">
        <v>-27.440904419321676</v>
      </c>
      <c r="I13" s="56">
        <v>-26.735092864125122</v>
      </c>
    </row>
    <row r="14" spans="1:9" ht="14" customHeight="1" x14ac:dyDescent="0.45">
      <c r="A14" s="97" t="s">
        <v>21</v>
      </c>
      <c r="B14" s="59">
        <v>3.3429632686752031</v>
      </c>
      <c r="C14" s="58">
        <v>6.4788732394366111</v>
      </c>
      <c r="D14" s="58">
        <v>5.8411214953268953E-2</v>
      </c>
      <c r="E14" s="130">
        <v>-7.0351758793969932</v>
      </c>
      <c r="F14" s="63">
        <v>7.2095435684647491</v>
      </c>
      <c r="G14" s="58">
        <v>5.0704225352112609</v>
      </c>
      <c r="H14" s="58">
        <v>17.161572052401741</v>
      </c>
      <c r="I14" s="58">
        <v>11.724137931034484</v>
      </c>
    </row>
    <row r="15" spans="1:9" ht="14" customHeight="1" x14ac:dyDescent="0.45">
      <c r="A15" s="1" t="s">
        <v>22</v>
      </c>
      <c r="B15" s="127" t="s">
        <v>59</v>
      </c>
      <c r="C15" s="56">
        <v>11.453488372093013</v>
      </c>
      <c r="D15" s="56">
        <v>23.689727463312373</v>
      </c>
      <c r="E15" s="56">
        <v>13.53919239904986</v>
      </c>
      <c r="F15" s="56">
        <v>95.341278439869996</v>
      </c>
      <c r="G15" s="56">
        <v>28.494208494208493</v>
      </c>
      <c r="H15" s="56">
        <v>-8.9601046435578873</v>
      </c>
      <c r="I15" s="131" t="s">
        <v>59</v>
      </c>
    </row>
    <row r="16" spans="1:9" ht="14" customHeight="1" x14ac:dyDescent="0.45">
      <c r="A16" s="97" t="s">
        <v>23</v>
      </c>
      <c r="B16" s="58">
        <v>48.01924165251841</v>
      </c>
      <c r="C16" s="58">
        <v>76.711668273866948</v>
      </c>
      <c r="D16" s="58">
        <v>98.64141622066694</v>
      </c>
      <c r="E16" s="58">
        <v>63.619688168755715</v>
      </c>
      <c r="F16" s="58">
        <v>131.70327393286368</v>
      </c>
      <c r="G16" s="58">
        <v>16.608904292188754</v>
      </c>
      <c r="H16" s="58">
        <v>68.588235294117666</v>
      </c>
      <c r="I16" s="58">
        <v>96.538936959208925</v>
      </c>
    </row>
    <row r="17" spans="1:9" ht="14" customHeight="1" x14ac:dyDescent="0.45">
      <c r="A17" s="1" t="s">
        <v>24</v>
      </c>
      <c r="B17" s="56">
        <v>19.933333333333337</v>
      </c>
      <c r="C17" s="56">
        <v>24.979983987189769</v>
      </c>
      <c r="D17" s="56">
        <v>-24.862096138691882</v>
      </c>
      <c r="E17" s="56">
        <v>9.8148794970310824</v>
      </c>
      <c r="F17" s="56">
        <v>67.543859649122837</v>
      </c>
      <c r="G17" s="56">
        <v>-22.158081705150977</v>
      </c>
      <c r="H17" s="56">
        <v>20.791311093871201</v>
      </c>
      <c r="I17" s="56">
        <v>32.580645161290313</v>
      </c>
    </row>
    <row r="18" spans="1:9" ht="14" customHeight="1" x14ac:dyDescent="0.45">
      <c r="A18" s="97" t="s">
        <v>25</v>
      </c>
      <c r="B18" s="58">
        <v>107.74793388429754</v>
      </c>
      <c r="C18" s="58">
        <v>90.136660724896061</v>
      </c>
      <c r="D18" s="58">
        <v>91.698841698841704</v>
      </c>
      <c r="E18" s="58">
        <v>79.240710823909538</v>
      </c>
      <c r="F18" s="58">
        <v>73.900841908325532</v>
      </c>
      <c r="G18" s="58">
        <v>66.114180478821339</v>
      </c>
      <c r="H18" s="58">
        <v>55.422715627668673</v>
      </c>
      <c r="I18" s="58">
        <v>99.684293606945531</v>
      </c>
    </row>
    <row r="19" spans="1:9" ht="14" customHeight="1" x14ac:dyDescent="0.45">
      <c r="A19" s="1" t="s">
        <v>26</v>
      </c>
      <c r="B19" s="56">
        <v>-21.605490898239342</v>
      </c>
      <c r="C19" s="56">
        <v>-19.17976424361494</v>
      </c>
      <c r="D19" s="56">
        <v>-32.028753993610223</v>
      </c>
      <c r="E19" s="56">
        <v>-27.086152458276946</v>
      </c>
      <c r="F19" s="56">
        <v>-28.512538646513232</v>
      </c>
      <c r="G19" s="56">
        <v>-43.207354443309498</v>
      </c>
      <c r="H19" s="56">
        <v>-42.346938775510203</v>
      </c>
      <c r="I19" s="56">
        <v>-15.939393939393931</v>
      </c>
    </row>
    <row r="20" spans="1:9" ht="14" customHeight="1" x14ac:dyDescent="0.45">
      <c r="A20" s="97" t="s">
        <v>27</v>
      </c>
      <c r="B20" s="58">
        <v>38.738170347003134</v>
      </c>
      <c r="C20" s="58">
        <v>51.918158567774952</v>
      </c>
      <c r="D20" s="58">
        <v>26.315789473684205</v>
      </c>
      <c r="E20" s="58">
        <v>25.563463819691567</v>
      </c>
      <c r="F20" s="58">
        <v>37.057728119180624</v>
      </c>
      <c r="G20" s="58">
        <v>23.692307692307701</v>
      </c>
      <c r="H20" s="58">
        <v>-2.2966507177033413</v>
      </c>
      <c r="I20" s="132">
        <v>35.377069282648655</v>
      </c>
    </row>
    <row r="21" spans="1:9" ht="14" customHeight="1" x14ac:dyDescent="0.45">
      <c r="A21" s="1" t="s">
        <v>28</v>
      </c>
      <c r="B21" s="56">
        <v>-8.7709650811108038</v>
      </c>
      <c r="C21" s="56">
        <v>2.1856372409877922</v>
      </c>
      <c r="D21" s="56">
        <v>7.713754646840143</v>
      </c>
      <c r="E21" s="60">
        <v>-11.539498517120538</v>
      </c>
      <c r="F21" s="60">
        <v>-5.7851239669421517</v>
      </c>
      <c r="G21" s="60">
        <v>-8.1485587583148718</v>
      </c>
      <c r="H21" s="56">
        <v>-22.433734939759042</v>
      </c>
      <c r="I21" s="56">
        <v>-4.4952681388012667</v>
      </c>
    </row>
    <row r="22" spans="1:9" ht="14" customHeight="1" x14ac:dyDescent="0.45">
      <c r="A22" s="98" t="s">
        <v>29</v>
      </c>
      <c r="B22" s="65">
        <v>21.072186836518036</v>
      </c>
      <c r="C22" s="62">
        <v>64.595300261096611</v>
      </c>
      <c r="D22" s="62">
        <v>2.8169014084507005</v>
      </c>
      <c r="E22" s="62">
        <v>25.707070707070699</v>
      </c>
      <c r="F22" s="62">
        <v>44.439071566731172</v>
      </c>
      <c r="G22" s="62">
        <v>15.50868486352357</v>
      </c>
      <c r="H22" s="62">
        <v>49.388379204892985</v>
      </c>
      <c r="I22" s="82">
        <v>34.088568486096804</v>
      </c>
    </row>
    <row r="23" spans="1:9" ht="14" customHeight="1" x14ac:dyDescent="0.45">
      <c r="A23" s="55" t="s">
        <v>30</v>
      </c>
      <c r="B23" s="168"/>
      <c r="C23" s="168"/>
      <c r="D23" s="168"/>
      <c r="E23" s="168"/>
      <c r="F23" s="168"/>
      <c r="G23" s="168"/>
      <c r="H23" s="168"/>
      <c r="I23" s="168"/>
    </row>
    <row r="24" spans="1:9" ht="14" customHeight="1" x14ac:dyDescent="0.45">
      <c r="A24" s="1" t="s">
        <v>48</v>
      </c>
      <c r="B24" s="127" t="s">
        <v>59</v>
      </c>
      <c r="C24" s="56">
        <v>7.1978444957659926</v>
      </c>
      <c r="D24" s="127" t="s">
        <v>59</v>
      </c>
      <c r="E24" s="127" t="s">
        <v>59</v>
      </c>
      <c r="F24" s="60">
        <v>15.798301708774499</v>
      </c>
      <c r="G24" s="131" t="s">
        <v>59</v>
      </c>
      <c r="H24" s="56">
        <v>16.337039204212967</v>
      </c>
      <c r="I24" s="127" t="s">
        <v>59</v>
      </c>
    </row>
    <row r="25" spans="1:9" ht="14" customHeight="1" x14ac:dyDescent="0.45">
      <c r="A25" s="97" t="s">
        <v>31</v>
      </c>
      <c r="B25" s="58">
        <v>-6.8503937007873938</v>
      </c>
      <c r="C25" s="58">
        <v>0.80071174377223109</v>
      </c>
      <c r="D25" s="58">
        <v>2.1151008362026547</v>
      </c>
      <c r="E25" s="129" t="s">
        <v>59</v>
      </c>
      <c r="F25" s="58">
        <v>6.9382558879694356</v>
      </c>
      <c r="G25" s="58">
        <v>14.086538461538467</v>
      </c>
      <c r="H25" s="58">
        <v>-3.5281146637265559</v>
      </c>
      <c r="I25" s="58">
        <v>1.5818431911966968</v>
      </c>
    </row>
    <row r="26" spans="1:9" ht="14" customHeight="1" x14ac:dyDescent="0.45">
      <c r="A26" s="1" t="s">
        <v>32</v>
      </c>
      <c r="B26" s="60">
        <v>-8.9411764705882302</v>
      </c>
      <c r="C26" s="56">
        <v>-3.3428700496913155</v>
      </c>
      <c r="D26" s="127" t="s">
        <v>59</v>
      </c>
      <c r="E26" s="56">
        <v>-13.32926332926333</v>
      </c>
      <c r="F26" s="56">
        <v>-4.6035805626598485</v>
      </c>
      <c r="G26" s="127" t="s">
        <v>59</v>
      </c>
      <c r="H26" s="56">
        <v>-14.571496212121215</v>
      </c>
      <c r="I26" s="60">
        <v>-19.753918759480872</v>
      </c>
    </row>
    <row r="27" spans="1:9" ht="14" customHeight="1" x14ac:dyDescent="0.45">
      <c r="A27" s="97" t="s">
        <v>33</v>
      </c>
      <c r="B27" s="129" t="s">
        <v>59</v>
      </c>
      <c r="C27" s="58">
        <v>66.606687659319249</v>
      </c>
      <c r="D27" s="58">
        <v>49.954182484618428</v>
      </c>
      <c r="E27" s="125" t="s">
        <v>59</v>
      </c>
      <c r="F27" s="63">
        <v>52.994471744471738</v>
      </c>
      <c r="G27" s="125">
        <v>-1.9221967963386821</v>
      </c>
      <c r="H27" s="58">
        <v>27.175430432759406</v>
      </c>
      <c r="I27" s="58">
        <v>18.291390728476809</v>
      </c>
    </row>
    <row r="28" spans="1:9" ht="14" customHeight="1" x14ac:dyDescent="0.45">
      <c r="A28" s="1" t="s">
        <v>34</v>
      </c>
      <c r="B28" s="56">
        <v>1.3088346337779777</v>
      </c>
      <c r="C28" s="56">
        <v>14.46039340776184</v>
      </c>
      <c r="D28" s="56">
        <v>11.096718480138179</v>
      </c>
      <c r="E28" s="56">
        <v>6.585081585081598</v>
      </c>
      <c r="F28" s="60">
        <v>-7.0428336079077392</v>
      </c>
      <c r="G28" s="56">
        <v>29.026073619631898</v>
      </c>
      <c r="H28" s="56">
        <v>24.613345117101204</v>
      </c>
      <c r="I28" s="56">
        <v>12.197269925143095</v>
      </c>
    </row>
    <row r="29" spans="1:9" ht="14" customHeight="1" x14ac:dyDescent="0.45">
      <c r="A29" s="97" t="s">
        <v>55</v>
      </c>
      <c r="B29" s="63">
        <v>-12.762836185819083</v>
      </c>
      <c r="C29" s="63">
        <v>-16.477272727272741</v>
      </c>
      <c r="D29" s="58">
        <v>-18.50273889227023</v>
      </c>
      <c r="E29" s="58">
        <v>-10.918544194107449</v>
      </c>
      <c r="F29" s="63">
        <v>2.4868123587038493</v>
      </c>
      <c r="G29" s="63">
        <v>-20.617110799438986</v>
      </c>
      <c r="H29" s="58">
        <v>-5.0314465408805127</v>
      </c>
      <c r="I29" s="58">
        <v>2.6123936816524918</v>
      </c>
    </row>
    <row r="30" spans="1:9" ht="14" customHeight="1" x14ac:dyDescent="0.45">
      <c r="A30" s="1" t="s">
        <v>35</v>
      </c>
      <c r="B30" s="56">
        <v>17.792743862698224</v>
      </c>
      <c r="C30" s="56">
        <v>36.996946988620593</v>
      </c>
      <c r="D30" s="56">
        <v>37.389249852333116</v>
      </c>
      <c r="E30" s="56">
        <v>23.716968770473891</v>
      </c>
      <c r="F30" s="56">
        <v>32.013969732246814</v>
      </c>
      <c r="G30" s="56">
        <v>25.957275292220892</v>
      </c>
      <c r="H30" s="56">
        <v>34.271356783919593</v>
      </c>
      <c r="I30" s="56">
        <v>26.228519746759105</v>
      </c>
    </row>
    <row r="31" spans="1:9" ht="14" customHeight="1" x14ac:dyDescent="0.45">
      <c r="A31" s="97" t="s">
        <v>36</v>
      </c>
      <c r="B31" s="58">
        <v>129.31483087597576</v>
      </c>
      <c r="C31" s="58">
        <v>161.95184866723991</v>
      </c>
      <c r="D31" s="58">
        <v>189.12916423144361</v>
      </c>
      <c r="E31" s="125" t="s">
        <v>59</v>
      </c>
      <c r="F31" s="63">
        <v>59.560439560439548</v>
      </c>
      <c r="G31" s="58">
        <v>94.069944247339052</v>
      </c>
      <c r="H31" s="58">
        <v>92.574992574992592</v>
      </c>
      <c r="I31" s="58">
        <v>78.015131286159331</v>
      </c>
    </row>
    <row r="32" spans="1:9" ht="14" customHeight="1" x14ac:dyDescent="0.45">
      <c r="A32" s="1" t="s">
        <v>37</v>
      </c>
      <c r="B32" s="64">
        <v>27.144535840188034</v>
      </c>
      <c r="C32" s="64">
        <v>75.199624236730855</v>
      </c>
      <c r="D32" s="56">
        <v>60.552349546578732</v>
      </c>
      <c r="E32" s="131" t="s">
        <v>59</v>
      </c>
      <c r="F32" s="56">
        <v>61.819727891156461</v>
      </c>
      <c r="G32" s="127" t="s">
        <v>59</v>
      </c>
      <c r="H32" s="56">
        <v>89.238145977623901</v>
      </c>
      <c r="I32" s="64">
        <v>77.559055118110237</v>
      </c>
    </row>
    <row r="33" spans="1:9" ht="14" customHeight="1" x14ac:dyDescent="0.45">
      <c r="A33" s="97" t="s">
        <v>51</v>
      </c>
      <c r="B33" s="125" t="s">
        <v>59</v>
      </c>
      <c r="C33" s="58">
        <v>-5.0423517688091835</v>
      </c>
      <c r="D33" s="58">
        <v>-3.5679845708775471</v>
      </c>
      <c r="E33" s="58">
        <v>-5.1157362380859777</v>
      </c>
      <c r="F33" s="58">
        <v>-7.5762149109568249</v>
      </c>
      <c r="G33" s="58">
        <v>-13.987547136718403</v>
      </c>
      <c r="H33" s="58">
        <v>-2.9368575624082016</v>
      </c>
      <c r="I33" s="58">
        <v>-9.515435717076981</v>
      </c>
    </row>
    <row r="34" spans="1:9" ht="14" customHeight="1" x14ac:dyDescent="0.45">
      <c r="A34" s="1" t="s">
        <v>38</v>
      </c>
      <c r="B34" s="60">
        <v>67.725490196078454</v>
      </c>
      <c r="C34" s="56">
        <v>47.715736040609123</v>
      </c>
      <c r="D34" s="56">
        <v>62.699960983222766</v>
      </c>
      <c r="E34" s="127" t="s">
        <v>59</v>
      </c>
      <c r="F34" s="56">
        <v>35.442199403776065</v>
      </c>
      <c r="G34" s="56">
        <v>-9.4917614295660258</v>
      </c>
      <c r="H34" s="56">
        <v>112.8060263653484</v>
      </c>
      <c r="I34" s="56">
        <v>38.406024474427355</v>
      </c>
    </row>
    <row r="35" spans="1:9" ht="14" customHeight="1" x14ac:dyDescent="0.45">
      <c r="A35" s="97" t="s">
        <v>39</v>
      </c>
      <c r="B35" s="58">
        <v>5.3911564625850561</v>
      </c>
      <c r="C35" s="58">
        <v>-7.657582344089608</v>
      </c>
      <c r="D35" s="58">
        <v>10.244249466445332</v>
      </c>
      <c r="E35" s="58">
        <v>7.5944333996024183</v>
      </c>
      <c r="F35" s="58">
        <v>-5.452830188679247</v>
      </c>
      <c r="G35" s="58">
        <v>24.93593029215786</v>
      </c>
      <c r="H35" s="58">
        <v>-15.252090195084877</v>
      </c>
      <c r="I35" s="58">
        <v>-10.056629564538177</v>
      </c>
    </row>
    <row r="36" spans="1:9" ht="14" customHeight="1" x14ac:dyDescent="0.45">
      <c r="A36" s="1" t="s">
        <v>57</v>
      </c>
      <c r="B36" s="127" t="s">
        <v>59</v>
      </c>
      <c r="C36" s="56">
        <v>36.862491930277571</v>
      </c>
      <c r="D36" s="56">
        <v>90.033975084937708</v>
      </c>
      <c r="E36" s="127">
        <v>49.920634920634924</v>
      </c>
      <c r="F36" s="133">
        <v>39.762107051826675</v>
      </c>
      <c r="G36" s="60">
        <v>51.202404809619217</v>
      </c>
      <c r="H36" s="56">
        <v>31.425091352009748</v>
      </c>
      <c r="I36" s="56">
        <v>7.267645003494061</v>
      </c>
    </row>
    <row r="37" spans="1:9" ht="14" customHeight="1" x14ac:dyDescent="0.45">
      <c r="A37" s="97" t="s">
        <v>56</v>
      </c>
      <c r="B37" s="129" t="s">
        <v>59</v>
      </c>
      <c r="C37" s="63">
        <v>40.94202898550725</v>
      </c>
      <c r="D37" s="58">
        <v>16.22489959839357</v>
      </c>
      <c r="E37" s="63">
        <v>12.592592592592599</v>
      </c>
      <c r="F37" s="58">
        <v>23.491379310344861</v>
      </c>
      <c r="G37" s="58">
        <v>9.4021739130434767</v>
      </c>
      <c r="H37" s="58">
        <v>6.9935691318327997</v>
      </c>
      <c r="I37" s="58">
        <v>29.699510831586331</v>
      </c>
    </row>
    <row r="38" spans="1:9" ht="14" customHeight="1" x14ac:dyDescent="0.45">
      <c r="A38" s="1" t="s">
        <v>40</v>
      </c>
      <c r="B38" s="56">
        <v>-10.538060996776599</v>
      </c>
      <c r="C38" s="56">
        <v>-15.774193548387094</v>
      </c>
      <c r="D38" s="56">
        <v>-4.5186640471512662</v>
      </c>
      <c r="E38" s="60">
        <v>7.0528291767229856</v>
      </c>
      <c r="F38" s="60">
        <v>2.2261798753339335</v>
      </c>
      <c r="G38" s="56">
        <v>10.502864417568425</v>
      </c>
      <c r="H38" s="60">
        <v>-11.393034825870663</v>
      </c>
      <c r="I38" s="60">
        <v>-11.113541894552625</v>
      </c>
    </row>
    <row r="39" spans="1:9" ht="14" customHeight="1" x14ac:dyDescent="0.45">
      <c r="A39" s="98" t="s">
        <v>41</v>
      </c>
      <c r="B39" s="62">
        <v>24.972737186477655</v>
      </c>
      <c r="C39" s="62">
        <v>52.512886597938135</v>
      </c>
      <c r="D39" s="62">
        <v>43.852167732764727</v>
      </c>
      <c r="E39" s="62">
        <v>32.38566131025955</v>
      </c>
      <c r="F39" s="62">
        <v>45.280000000000008</v>
      </c>
      <c r="G39" s="65">
        <v>-14.125000000000021</v>
      </c>
      <c r="H39" s="62">
        <v>33.624107850911969</v>
      </c>
      <c r="I39" s="62">
        <v>15.609007164790189</v>
      </c>
    </row>
    <row r="40" spans="1:9" ht="14" customHeight="1" x14ac:dyDescent="0.45">
      <c r="A40" s="55" t="s">
        <v>42</v>
      </c>
      <c r="B40" s="168"/>
      <c r="C40" s="168"/>
      <c r="D40" s="168"/>
      <c r="E40" s="168"/>
      <c r="F40" s="168"/>
      <c r="G40" s="168"/>
      <c r="H40" s="168"/>
      <c r="I40" s="168"/>
    </row>
    <row r="41" spans="1:9" ht="14" customHeight="1" x14ac:dyDescent="0.45">
      <c r="A41" s="1" t="s">
        <v>43</v>
      </c>
      <c r="B41" s="131" t="s">
        <v>59</v>
      </c>
      <c r="C41" s="56">
        <v>-35.734870317002873</v>
      </c>
      <c r="D41" s="56">
        <v>1.1967308814944788</v>
      </c>
      <c r="E41" s="131" t="s">
        <v>59</v>
      </c>
      <c r="F41" s="56">
        <v>-26.834938558618404</v>
      </c>
      <c r="G41" s="56">
        <v>-6.7880364109232811</v>
      </c>
      <c r="H41" s="56">
        <v>-12.467396974439227</v>
      </c>
      <c r="I41" s="60">
        <v>6.2103929024081017</v>
      </c>
    </row>
    <row r="42" spans="1:9" ht="14" customHeight="1" x14ac:dyDescent="0.45">
      <c r="A42" s="97" t="s">
        <v>44</v>
      </c>
      <c r="B42" s="58">
        <v>1.4925373134328401</v>
      </c>
      <c r="C42" s="58">
        <v>-13.56809943034698</v>
      </c>
      <c r="D42" s="58">
        <v>-16.618413433700042</v>
      </c>
      <c r="E42" s="58">
        <v>-1.476668635558176</v>
      </c>
      <c r="F42" s="58">
        <v>-22.621564482029587</v>
      </c>
      <c r="G42" s="63">
        <v>-2.1013597033374687</v>
      </c>
      <c r="H42" s="58">
        <v>-2.357207615593826</v>
      </c>
      <c r="I42" s="58">
        <v>-9.8305084745762716</v>
      </c>
    </row>
    <row r="43" spans="1:9" ht="14" customHeight="1" x14ac:dyDescent="0.45">
      <c r="A43" s="1" t="s">
        <v>52</v>
      </c>
      <c r="B43" s="60">
        <v>-3.2024793388429562</v>
      </c>
      <c r="C43" s="56">
        <v>-5.147783251231508</v>
      </c>
      <c r="D43" s="56">
        <v>6.4528023598819928</v>
      </c>
      <c r="E43" s="56">
        <v>-4.4305321454370272</v>
      </c>
      <c r="F43" s="56">
        <v>-26.834938558618394</v>
      </c>
      <c r="G43" s="56">
        <v>-9.0172595984501562</v>
      </c>
      <c r="H43" s="56">
        <v>41.869738591050051</v>
      </c>
      <c r="I43" s="56">
        <v>-13.583007266629398</v>
      </c>
    </row>
    <row r="44" spans="1:9" ht="14" customHeight="1" x14ac:dyDescent="0.45">
      <c r="A44" s="97" t="s">
        <v>45</v>
      </c>
      <c r="B44" s="58">
        <v>-24.146649810366625</v>
      </c>
      <c r="C44" s="58">
        <v>6.1605206073752639</v>
      </c>
      <c r="D44" s="58">
        <v>-19.825853985264562</v>
      </c>
      <c r="E44" s="58">
        <v>11.671469740633999</v>
      </c>
      <c r="F44" s="58">
        <v>-22.719060523938573</v>
      </c>
      <c r="G44" s="58">
        <v>-26.491803278688529</v>
      </c>
      <c r="H44" s="58">
        <v>-7.6607387140902983</v>
      </c>
      <c r="I44" s="58">
        <v>-23.105706267539748</v>
      </c>
    </row>
    <row r="45" spans="1:9" ht="14" customHeight="1" x14ac:dyDescent="0.45">
      <c r="A45" s="99" t="s">
        <v>46</v>
      </c>
      <c r="B45" s="67">
        <v>-25.859491778774302</v>
      </c>
      <c r="C45" s="67">
        <v>5.7770075101097662</v>
      </c>
      <c r="D45" s="67">
        <v>-39.195230998509686</v>
      </c>
      <c r="E45" s="67">
        <v>-20.535714285714278</v>
      </c>
      <c r="F45" s="67">
        <v>-22.372881355932194</v>
      </c>
      <c r="G45" s="67">
        <v>-29.795158286778399</v>
      </c>
      <c r="H45" s="67">
        <v>-16.008316008316015</v>
      </c>
      <c r="I45" s="67">
        <v>-4.374999999999984</v>
      </c>
    </row>
    <row r="46" spans="1:9" x14ac:dyDescent="0.45">
      <c r="A46" s="48"/>
      <c r="B46" s="56"/>
      <c r="C46" s="56"/>
      <c r="D46" s="56"/>
      <c r="E46" s="56"/>
      <c r="F46" s="56"/>
      <c r="G46" s="56"/>
      <c r="H46" s="56"/>
      <c r="I46" s="56"/>
    </row>
    <row r="47" spans="1:9" x14ac:dyDescent="0.45">
      <c r="A47" s="68" t="s">
        <v>12</v>
      </c>
      <c r="B47" s="69"/>
      <c r="C47" s="70"/>
      <c r="D47" s="70"/>
      <c r="E47" s="69"/>
      <c r="F47" s="70"/>
      <c r="G47" s="70"/>
      <c r="H47" s="70"/>
      <c r="I47" s="70"/>
    </row>
    <row r="48" spans="1:9" x14ac:dyDescent="0.45">
      <c r="A48" s="71" t="s">
        <v>54</v>
      </c>
      <c r="B48" s="71"/>
      <c r="C48" s="71"/>
      <c r="D48" s="71"/>
      <c r="E48" s="71"/>
      <c r="F48" s="71"/>
      <c r="G48" s="71"/>
      <c r="H48" s="71"/>
      <c r="I48" s="71"/>
    </row>
    <row r="49" spans="1:9" x14ac:dyDescent="0.45">
      <c r="A49" s="72" t="s">
        <v>14</v>
      </c>
      <c r="B49" s="69"/>
      <c r="C49" s="70"/>
      <c r="D49" s="70"/>
      <c r="E49" s="69"/>
      <c r="F49" s="70"/>
      <c r="G49" s="70"/>
      <c r="H49" s="70"/>
      <c r="I49" s="70"/>
    </row>
    <row r="50" spans="1:9" x14ac:dyDescent="0.45">
      <c r="A50" s="73" t="s">
        <v>15</v>
      </c>
      <c r="B50" s="74"/>
      <c r="C50" s="74"/>
      <c r="D50" s="74"/>
      <c r="E50" s="74"/>
      <c r="F50" s="74"/>
      <c r="G50" s="74"/>
      <c r="H50" s="74"/>
      <c r="I50" s="74"/>
    </row>
    <row r="51" spans="1:9" x14ac:dyDescent="0.45">
      <c r="A51" s="73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5" t="str">
        <f>+Índice!A14</f>
        <v>Fecha de actualización: 8 de marzo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3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3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3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5B01-133B-4735-A10B-A521B9ED8989}">
  <dimension ref="A1:I55"/>
  <sheetViews>
    <sheetView showGridLines="0" workbookViewId="0">
      <selection activeCell="A6" sqref="A6"/>
    </sheetView>
  </sheetViews>
  <sheetFormatPr baseColWidth="10" defaultColWidth="11.453125" defaultRowHeight="16" x14ac:dyDescent="0.45"/>
  <cols>
    <col min="1" max="1" width="24.453125" style="54" customWidth="1"/>
    <col min="2" max="2" width="12" style="54" bestFit="1" customWidth="1"/>
    <col min="3" max="3" width="9.453125" style="54" customWidth="1"/>
    <col min="4" max="4" width="13.54296875" style="54" bestFit="1" customWidth="1"/>
    <col min="5" max="5" width="12" style="54" customWidth="1"/>
    <col min="6" max="6" width="10.26953125" style="54" customWidth="1"/>
    <col min="7" max="7" width="9.453125" style="54" customWidth="1"/>
    <col min="8" max="8" width="10.54296875" style="54" customWidth="1"/>
    <col min="9" max="9" width="9.26953125" style="54" customWidth="1"/>
    <col min="10" max="16384" width="11.453125" style="54"/>
  </cols>
  <sheetData>
    <row r="1" spans="1:9" s="48" customFormat="1" ht="18.5" customHeight="1" x14ac:dyDescent="0.4"/>
    <row r="2" spans="1:9" s="48" customFormat="1" ht="33" customHeight="1" x14ac:dyDescent="0.4"/>
    <row r="3" spans="1:9" s="48" customFormat="1" ht="19" customHeight="1" x14ac:dyDescent="0.4"/>
    <row r="4" spans="1:9" s="48" customFormat="1" ht="18.75" customHeight="1" x14ac:dyDescent="0.4">
      <c r="A4" s="149" t="s">
        <v>0</v>
      </c>
      <c r="B4" s="149"/>
      <c r="C4" s="149"/>
      <c r="D4" s="149"/>
      <c r="E4" s="149"/>
      <c r="F4" s="149"/>
      <c r="G4" s="149"/>
      <c r="H4" s="149"/>
      <c r="I4" s="149"/>
    </row>
    <row r="5" spans="1:9" s="48" customFormat="1" ht="27.75" customHeight="1" x14ac:dyDescent="0.4">
      <c r="A5" s="149"/>
      <c r="B5" s="149"/>
      <c r="C5" s="149"/>
      <c r="D5" s="149"/>
      <c r="E5" s="149"/>
      <c r="F5" s="149"/>
      <c r="G5" s="149"/>
      <c r="H5" s="149"/>
      <c r="I5" s="149"/>
    </row>
    <row r="6" spans="1:9" s="48" customFormat="1" ht="18.75" customHeight="1" x14ac:dyDescent="0.4">
      <c r="A6" s="49" t="s">
        <v>16</v>
      </c>
      <c r="B6" s="50"/>
      <c r="C6" s="50"/>
      <c r="D6" s="50"/>
      <c r="E6" s="50"/>
      <c r="F6" s="50"/>
      <c r="G6" s="50"/>
      <c r="H6" s="50"/>
      <c r="I6" s="50"/>
    </row>
    <row r="7" spans="1:9" s="48" customFormat="1" ht="15" customHeight="1" x14ac:dyDescent="0.4">
      <c r="A7" s="49" t="str">
        <f>+"Variación anual. "&amp;Índice!A7</f>
        <v>Variación anual. Febrero de 2024</v>
      </c>
      <c r="B7" s="50"/>
      <c r="C7" s="50"/>
      <c r="D7" s="50"/>
      <c r="E7" s="50"/>
      <c r="F7" s="50"/>
      <c r="G7" s="50"/>
      <c r="H7" s="50"/>
      <c r="I7" s="50"/>
    </row>
    <row r="8" spans="1:9" s="48" customFormat="1" ht="14" x14ac:dyDescent="0.4"/>
    <row r="9" spans="1:9" x14ac:dyDescent="0.45">
      <c r="A9" s="51" t="s">
        <v>50</v>
      </c>
      <c r="B9" s="76" t="s">
        <v>2</v>
      </c>
      <c r="C9" s="76" t="s">
        <v>3</v>
      </c>
      <c r="D9" s="76" t="s">
        <v>4</v>
      </c>
      <c r="E9" s="77" t="s">
        <v>5</v>
      </c>
      <c r="F9" s="76" t="s">
        <v>6</v>
      </c>
      <c r="G9" s="76" t="s">
        <v>7</v>
      </c>
      <c r="H9" s="76" t="s">
        <v>8</v>
      </c>
      <c r="I9" s="76" t="s">
        <v>9</v>
      </c>
    </row>
    <row r="10" spans="1:9" ht="14" customHeight="1" x14ac:dyDescent="0.45">
      <c r="A10" s="55" t="s">
        <v>17</v>
      </c>
      <c r="B10" s="55"/>
      <c r="C10" s="55"/>
      <c r="D10" s="55"/>
      <c r="E10" s="55"/>
      <c r="F10" s="55"/>
      <c r="G10" s="55"/>
      <c r="H10" s="55"/>
      <c r="I10" s="55"/>
    </row>
    <row r="11" spans="1:9" ht="14" customHeight="1" x14ac:dyDescent="0.45">
      <c r="A11" s="48" t="s">
        <v>18</v>
      </c>
      <c r="B11" s="127" t="s">
        <v>59</v>
      </c>
      <c r="C11" s="56">
        <v>20.389048991354496</v>
      </c>
      <c r="D11" s="56">
        <v>33.250620347394502</v>
      </c>
      <c r="E11" s="127" t="s">
        <v>59</v>
      </c>
      <c r="F11" s="56">
        <v>-30.769230769230749</v>
      </c>
      <c r="G11" s="56">
        <v>7.4730842305256395</v>
      </c>
      <c r="H11" s="56">
        <v>-17.73618538324423</v>
      </c>
      <c r="I11" s="56">
        <v>-2.0939445387662792</v>
      </c>
    </row>
    <row r="12" spans="1:9" ht="14" customHeight="1" x14ac:dyDescent="0.45">
      <c r="A12" s="57" t="s">
        <v>19</v>
      </c>
      <c r="B12" s="58">
        <v>4.244393208970898</v>
      </c>
      <c r="C12" s="58">
        <v>-16.846846846846841</v>
      </c>
      <c r="D12" s="58">
        <v>6.2854198866563626</v>
      </c>
      <c r="E12" s="129" t="s">
        <v>59</v>
      </c>
      <c r="F12" s="58">
        <v>-7.5981735159817436</v>
      </c>
      <c r="G12" s="58">
        <v>4.1558441558441572</v>
      </c>
      <c r="H12" s="58">
        <v>-9.5299698145752121</v>
      </c>
      <c r="I12" s="125" t="s">
        <v>59</v>
      </c>
    </row>
    <row r="13" spans="1:9" ht="14" customHeight="1" x14ac:dyDescent="0.45">
      <c r="A13" s="48" t="s">
        <v>20</v>
      </c>
      <c r="B13" s="56">
        <v>-42.903330100226334</v>
      </c>
      <c r="C13" s="56">
        <v>-56.143667296786383</v>
      </c>
      <c r="D13" s="56">
        <v>-53.452685421994886</v>
      </c>
      <c r="E13" s="56">
        <v>-45.70871261378413</v>
      </c>
      <c r="F13" s="56">
        <v>-40.768725361366641</v>
      </c>
      <c r="G13" s="56">
        <v>-51.304049416609445</v>
      </c>
      <c r="H13" s="56">
        <v>-51.775956284153011</v>
      </c>
      <c r="I13" s="56">
        <v>-50</v>
      </c>
    </row>
    <row r="14" spans="1:9" ht="14" customHeight="1" x14ac:dyDescent="0.45">
      <c r="A14" s="57" t="s">
        <v>21</v>
      </c>
      <c r="B14" s="59">
        <v>-43.18130247333788</v>
      </c>
      <c r="C14" s="58">
        <v>-45.4882571075402</v>
      </c>
      <c r="D14" s="58">
        <v>-55.598755832037327</v>
      </c>
      <c r="E14" s="130">
        <v>-43.629784802894676</v>
      </c>
      <c r="F14" s="63">
        <v>-49.138779527559059</v>
      </c>
      <c r="G14" s="58">
        <v>-58.389112003569835</v>
      </c>
      <c r="H14" s="58">
        <v>-34.111001964636536</v>
      </c>
      <c r="I14" s="58">
        <v>-14.73684210526317</v>
      </c>
    </row>
    <row r="15" spans="1:9" ht="14" customHeight="1" x14ac:dyDescent="0.45">
      <c r="A15" s="48" t="s">
        <v>22</v>
      </c>
      <c r="B15" s="127" t="s">
        <v>59</v>
      </c>
      <c r="C15" s="56">
        <v>-8.8878326996197679</v>
      </c>
      <c r="D15" s="56">
        <v>-32.300631095811816</v>
      </c>
      <c r="E15" s="56">
        <v>-3.9517749497655741</v>
      </c>
      <c r="F15" s="56">
        <v>39.227799227799245</v>
      </c>
      <c r="G15" s="56">
        <v>-12.970711297071102</v>
      </c>
      <c r="H15" s="56">
        <v>-31.225296442687743</v>
      </c>
      <c r="I15" s="131" t="s">
        <v>59</v>
      </c>
    </row>
    <row r="16" spans="1:9" ht="14" customHeight="1" x14ac:dyDescent="0.45">
      <c r="A16" s="57" t="s">
        <v>23</v>
      </c>
      <c r="B16" s="58">
        <v>76.842461122380001</v>
      </c>
      <c r="C16" s="58">
        <v>76.54142581888253</v>
      </c>
      <c r="D16" s="58">
        <v>164.9643053267435</v>
      </c>
      <c r="E16" s="58">
        <v>65.902045877247446</v>
      </c>
      <c r="F16" s="58">
        <v>97.422316384180775</v>
      </c>
      <c r="G16" s="58">
        <v>55.658362989323919</v>
      </c>
      <c r="H16" s="58">
        <v>12.128325508607251</v>
      </c>
      <c r="I16" s="58">
        <v>46.184492798038647</v>
      </c>
    </row>
    <row r="17" spans="1:9" ht="14" customHeight="1" x14ac:dyDescent="0.45">
      <c r="A17" s="48" t="s">
        <v>24</v>
      </c>
      <c r="B17" s="56">
        <v>41.542092840283253</v>
      </c>
      <c r="C17" s="56">
        <v>30.956375838926164</v>
      </c>
      <c r="D17" s="56">
        <v>20.543615676358982</v>
      </c>
      <c r="E17" s="56">
        <v>37.053182214472535</v>
      </c>
      <c r="F17" s="56">
        <v>30.553656869446378</v>
      </c>
      <c r="G17" s="56">
        <v>26.661849710982686</v>
      </c>
      <c r="H17" s="56">
        <v>36.939313984168834</v>
      </c>
      <c r="I17" s="56">
        <v>40.891283055827586</v>
      </c>
    </row>
    <row r="18" spans="1:9" ht="14" customHeight="1" x14ac:dyDescent="0.45">
      <c r="A18" s="57" t="s">
        <v>25</v>
      </c>
      <c r="B18" s="58">
        <v>-13.579716373012463</v>
      </c>
      <c r="C18" s="58">
        <v>-7.6745527986151423</v>
      </c>
      <c r="D18" s="58">
        <v>6.4308681672025525</v>
      </c>
      <c r="E18" s="58">
        <v>-5.2519214346712033</v>
      </c>
      <c r="F18" s="58">
        <v>28.11853893866305</v>
      </c>
      <c r="G18" s="58">
        <v>-8.8428499242041436</v>
      </c>
      <c r="H18" s="58">
        <v>-15.191053122087606</v>
      </c>
      <c r="I18" s="58">
        <v>0.67648229208117083</v>
      </c>
    </row>
    <row r="19" spans="1:9" ht="14" customHeight="1" x14ac:dyDescent="0.45">
      <c r="A19" s="48" t="s">
        <v>26</v>
      </c>
      <c r="B19" s="56">
        <v>-25.91652566271858</v>
      </c>
      <c r="C19" s="56">
        <v>-50.053118834420992</v>
      </c>
      <c r="D19" s="56">
        <v>-38.930749910297813</v>
      </c>
      <c r="E19" s="56">
        <v>-47.199085415645939</v>
      </c>
      <c r="F19" s="56">
        <v>-59.442603780939393</v>
      </c>
      <c r="G19" s="56">
        <v>-56.501329995305902</v>
      </c>
      <c r="H19" s="56">
        <v>-64.735712892529747</v>
      </c>
      <c r="I19" s="56">
        <v>-48.629629629629612</v>
      </c>
    </row>
    <row r="20" spans="1:9" ht="14" customHeight="1" x14ac:dyDescent="0.45">
      <c r="A20" s="57" t="s">
        <v>27</v>
      </c>
      <c r="B20" s="58">
        <v>-33.161094224924028</v>
      </c>
      <c r="C20" s="58">
        <v>-34.146341463414608</v>
      </c>
      <c r="D20" s="58">
        <v>-48.777969018932886</v>
      </c>
      <c r="E20" s="58">
        <v>-31.288542680947728</v>
      </c>
      <c r="F20" s="58">
        <v>-27.200791295746786</v>
      </c>
      <c r="G20" s="58">
        <v>-21.176470588235276</v>
      </c>
      <c r="H20" s="58">
        <v>-49.679645145391824</v>
      </c>
      <c r="I20" s="132">
        <v>-33.892215568862284</v>
      </c>
    </row>
    <row r="21" spans="1:9" ht="14" customHeight="1" x14ac:dyDescent="0.45">
      <c r="A21" s="48" t="s">
        <v>28</v>
      </c>
      <c r="B21" s="56">
        <v>39.940953184310438</v>
      </c>
      <c r="C21" s="56">
        <v>44.230769230769226</v>
      </c>
      <c r="D21" s="56">
        <v>64.864864864864842</v>
      </c>
      <c r="E21" s="60">
        <v>52.038924930491135</v>
      </c>
      <c r="F21" s="60">
        <v>30.165745856353588</v>
      </c>
      <c r="G21" s="60">
        <v>24.30607651912975</v>
      </c>
      <c r="H21" s="56">
        <v>21.931818181818198</v>
      </c>
      <c r="I21" s="56">
        <v>28.784119106699734</v>
      </c>
    </row>
    <row r="22" spans="1:9" ht="14" customHeight="1" x14ac:dyDescent="0.45">
      <c r="A22" s="61" t="s">
        <v>29</v>
      </c>
      <c r="B22" s="65">
        <v>-8.6869495596477169</v>
      </c>
      <c r="C22" s="62">
        <v>38.915821947994701</v>
      </c>
      <c r="D22" s="62">
        <v>-28.606356968215163</v>
      </c>
      <c r="E22" s="62">
        <v>8.642514185944993</v>
      </c>
      <c r="F22" s="62">
        <v>45.070422535211293</v>
      </c>
      <c r="G22" s="62">
        <v>5.8555997725980635</v>
      </c>
      <c r="H22" s="62">
        <v>31.75994605529333</v>
      </c>
      <c r="I22" s="82">
        <v>9.503784693019357</v>
      </c>
    </row>
    <row r="23" spans="1:9" ht="14" customHeight="1" x14ac:dyDescent="0.45">
      <c r="A23" s="55" t="s">
        <v>30</v>
      </c>
      <c r="B23" s="168"/>
      <c r="C23" s="168"/>
      <c r="D23" s="168"/>
      <c r="E23" s="168"/>
      <c r="F23" s="168"/>
      <c r="G23" s="168"/>
      <c r="H23" s="168"/>
      <c r="I23" s="168"/>
    </row>
    <row r="24" spans="1:9" ht="14" customHeight="1" x14ac:dyDescent="0.45">
      <c r="A24" s="1" t="s">
        <v>48</v>
      </c>
      <c r="B24" s="127" t="s">
        <v>59</v>
      </c>
      <c r="C24" s="56">
        <v>56.109865470852107</v>
      </c>
      <c r="D24" s="127" t="s">
        <v>59</v>
      </c>
      <c r="E24" s="127" t="s">
        <v>59</v>
      </c>
      <c r="F24" s="60">
        <v>74.282107920479604</v>
      </c>
      <c r="G24" s="131" t="s">
        <v>59</v>
      </c>
      <c r="H24" s="56">
        <v>60.312852765682919</v>
      </c>
      <c r="I24" s="127" t="s">
        <v>59</v>
      </c>
    </row>
    <row r="25" spans="1:9" ht="14" customHeight="1" x14ac:dyDescent="0.45">
      <c r="A25" s="97" t="s">
        <v>31</v>
      </c>
      <c r="B25" s="58">
        <v>-35.000000000000007</v>
      </c>
      <c r="C25" s="58">
        <v>6.2353492733239646</v>
      </c>
      <c r="D25" s="58">
        <v>4.7955577990913767</v>
      </c>
      <c r="E25" s="129" t="s">
        <v>59</v>
      </c>
      <c r="F25" s="58">
        <v>8.878807517822441</v>
      </c>
      <c r="G25" s="58">
        <v>-0.66973629133528778</v>
      </c>
      <c r="H25" s="58">
        <v>-2.4526198439241753</v>
      </c>
      <c r="I25" s="58">
        <v>-2.3793787177792236</v>
      </c>
    </row>
    <row r="26" spans="1:9" ht="14" customHeight="1" x14ac:dyDescent="0.45">
      <c r="A26" s="1" t="s">
        <v>32</v>
      </c>
      <c r="B26" s="60">
        <v>15.608663181478688</v>
      </c>
      <c r="C26" s="56">
        <v>55.010866940352599</v>
      </c>
      <c r="D26" s="127" t="s">
        <v>59</v>
      </c>
      <c r="E26" s="56">
        <v>6.2624750499002069</v>
      </c>
      <c r="F26" s="56">
        <v>43.561931420573806</v>
      </c>
      <c r="G26" s="127" t="s">
        <v>59</v>
      </c>
      <c r="H26" s="56">
        <v>29.082453943838281</v>
      </c>
      <c r="I26" s="60">
        <v>27.2314270443613</v>
      </c>
    </row>
    <row r="27" spans="1:9" ht="14" customHeight="1" x14ac:dyDescent="0.45">
      <c r="A27" s="97" t="s">
        <v>33</v>
      </c>
      <c r="B27" s="129" t="s">
        <v>59</v>
      </c>
      <c r="C27" s="58">
        <v>25.989341195146821</v>
      </c>
      <c r="D27" s="58">
        <v>19.037722124077728</v>
      </c>
      <c r="E27" s="125" t="s">
        <v>59</v>
      </c>
      <c r="F27" s="63">
        <v>24.646565745026948</v>
      </c>
      <c r="G27" s="125">
        <v>-20.971112476951468</v>
      </c>
      <c r="H27" s="58">
        <v>20.431844888366602</v>
      </c>
      <c r="I27" s="58">
        <v>19.302698370291218</v>
      </c>
    </row>
    <row r="28" spans="1:9" ht="14" customHeight="1" x14ac:dyDescent="0.45">
      <c r="A28" s="1" t="s">
        <v>34</v>
      </c>
      <c r="B28" s="56">
        <v>36.163734776725256</v>
      </c>
      <c r="C28" s="56">
        <v>6.478733926805158</v>
      </c>
      <c r="D28" s="56">
        <v>1.1797090051120618</v>
      </c>
      <c r="E28" s="56">
        <v>16.981132075471695</v>
      </c>
      <c r="F28" s="60">
        <v>23.671232876712335</v>
      </c>
      <c r="G28" s="56">
        <v>38.022969647251806</v>
      </c>
      <c r="H28" s="56">
        <v>29.77450529222272</v>
      </c>
      <c r="I28" s="56">
        <v>27.655310621242425</v>
      </c>
    </row>
    <row r="29" spans="1:9" ht="14" customHeight="1" x14ac:dyDescent="0.45">
      <c r="A29" s="97" t="s">
        <v>55</v>
      </c>
      <c r="B29" s="63">
        <v>-53.273965426925109</v>
      </c>
      <c r="C29" s="63">
        <v>-60.133136094674569</v>
      </c>
      <c r="D29" s="58">
        <v>-62.888026607538805</v>
      </c>
      <c r="E29" s="58">
        <v>-52.186046511627929</v>
      </c>
      <c r="F29" s="63">
        <v>-46.750195771339065</v>
      </c>
      <c r="G29" s="63">
        <v>-63.030698889614648</v>
      </c>
      <c r="H29" s="58">
        <v>-60.442962610145301</v>
      </c>
      <c r="I29" s="58">
        <v>-48.631386861313842</v>
      </c>
    </row>
    <row r="30" spans="1:9" ht="14" customHeight="1" x14ac:dyDescent="0.45">
      <c r="A30" s="1" t="s">
        <v>35</v>
      </c>
      <c r="B30" s="56">
        <v>-7.3162393162393595</v>
      </c>
      <c r="C30" s="56">
        <v>1.1061040557148738</v>
      </c>
      <c r="D30" s="56">
        <v>1.5277171540811763</v>
      </c>
      <c r="E30" s="56">
        <v>7.1901608325448896</v>
      </c>
      <c r="F30" s="56">
        <v>10.661136862649446</v>
      </c>
      <c r="G30" s="56">
        <v>12.673517216513464</v>
      </c>
      <c r="H30" s="56">
        <v>-8.8469410962019435</v>
      </c>
      <c r="I30" s="56">
        <v>2.3216031280547167</v>
      </c>
    </row>
    <row r="31" spans="1:9" ht="14" customHeight="1" x14ac:dyDescent="0.45">
      <c r="A31" s="97" t="s">
        <v>36</v>
      </c>
      <c r="B31" s="58">
        <v>37.959822593269045</v>
      </c>
      <c r="C31" s="58">
        <v>8.532240826505145</v>
      </c>
      <c r="D31" s="58">
        <v>18.861124459394539</v>
      </c>
      <c r="E31" s="125" t="s">
        <v>59</v>
      </c>
      <c r="F31" s="63">
        <v>38.417540514775908</v>
      </c>
      <c r="G31" s="58">
        <v>75.561668959193028</v>
      </c>
      <c r="H31" s="58">
        <v>26.467719914179867</v>
      </c>
      <c r="I31" s="58">
        <v>1.0611419909045239</v>
      </c>
    </row>
    <row r="32" spans="1:9" ht="14" customHeight="1" x14ac:dyDescent="0.45">
      <c r="A32" s="1" t="s">
        <v>37</v>
      </c>
      <c r="B32" s="64">
        <v>5.2273279844396336</v>
      </c>
      <c r="C32" s="64">
        <v>-32.610659439927723</v>
      </c>
      <c r="D32" s="56">
        <v>-11.093357680894789</v>
      </c>
      <c r="E32" s="131" t="s">
        <v>59</v>
      </c>
      <c r="F32" s="56">
        <v>-21.687242798353935</v>
      </c>
      <c r="G32" s="127" t="s">
        <v>59</v>
      </c>
      <c r="H32" s="56">
        <v>-21.95121951219512</v>
      </c>
      <c r="I32" s="64">
        <v>-9.1336467427803889</v>
      </c>
    </row>
    <row r="33" spans="1:9" ht="14" customHeight="1" x14ac:dyDescent="0.45">
      <c r="A33" s="97" t="s">
        <v>51</v>
      </c>
      <c r="B33" s="125" t="s">
        <v>59</v>
      </c>
      <c r="C33" s="58">
        <v>2.1110158594084716</v>
      </c>
      <c r="D33" s="58">
        <v>6.3075832742735427</v>
      </c>
      <c r="E33" s="58">
        <v>6.8214168400307029</v>
      </c>
      <c r="F33" s="58">
        <v>9.722885809842353</v>
      </c>
      <c r="G33" s="58">
        <v>10.251798561151082</v>
      </c>
      <c r="H33" s="58">
        <v>5.4827311068049722</v>
      </c>
      <c r="I33" s="58">
        <v>8.8494535198025748</v>
      </c>
    </row>
    <row r="34" spans="1:9" ht="14" customHeight="1" x14ac:dyDescent="0.45">
      <c r="A34" s="1" t="s">
        <v>38</v>
      </c>
      <c r="B34" s="60">
        <v>-4.4672771945499123</v>
      </c>
      <c r="C34" s="56">
        <v>-5.0349650349649995</v>
      </c>
      <c r="D34" s="56">
        <v>5.5696202531645866</v>
      </c>
      <c r="E34" s="127" t="s">
        <v>59</v>
      </c>
      <c r="F34" s="56">
        <v>-0.75242718446602019</v>
      </c>
      <c r="G34" s="56">
        <v>5.7483731019523088</v>
      </c>
      <c r="H34" s="56">
        <v>-8.2295614510016328</v>
      </c>
      <c r="I34" s="56">
        <v>-3.5003281557645982</v>
      </c>
    </row>
    <row r="35" spans="1:9" ht="14" customHeight="1" x14ac:dyDescent="0.45">
      <c r="A35" s="97" t="s">
        <v>39</v>
      </c>
      <c r="B35" s="58">
        <v>12.325539242341833</v>
      </c>
      <c r="C35" s="58">
        <v>6.1911170928667714</v>
      </c>
      <c r="D35" s="58">
        <v>8.6468801121757153</v>
      </c>
      <c r="E35" s="58">
        <v>7.830245068738817</v>
      </c>
      <c r="F35" s="58">
        <v>26.828650974436876</v>
      </c>
      <c r="G35" s="58">
        <v>11.022546117057619</v>
      </c>
      <c r="H35" s="58">
        <v>-10.585404971932643</v>
      </c>
      <c r="I35" s="58">
        <v>6.4971098265896199</v>
      </c>
    </row>
    <row r="36" spans="1:9" ht="14" customHeight="1" x14ac:dyDescent="0.45">
      <c r="A36" s="1" t="s">
        <v>57</v>
      </c>
      <c r="B36" s="127" t="s">
        <v>59</v>
      </c>
      <c r="C36" s="56">
        <v>5.8941058941059055</v>
      </c>
      <c r="D36" s="56">
        <v>15.326460481099669</v>
      </c>
      <c r="E36" s="127">
        <v>9.0017311021350466</v>
      </c>
      <c r="F36" s="133">
        <v>23.220973782771615</v>
      </c>
      <c r="G36" s="60">
        <v>14.927646610814893</v>
      </c>
      <c r="H36" s="56">
        <v>-6.3774403470715946</v>
      </c>
      <c r="I36" s="56">
        <v>-20.876288659793808</v>
      </c>
    </row>
    <row r="37" spans="1:9" ht="14" customHeight="1" x14ac:dyDescent="0.45">
      <c r="A37" s="97" t="s">
        <v>56</v>
      </c>
      <c r="B37" s="129" t="s">
        <v>59</v>
      </c>
      <c r="C37" s="63">
        <v>-44.861800141743437</v>
      </c>
      <c r="D37" s="58">
        <v>-51.814851814851828</v>
      </c>
      <c r="E37" s="63">
        <v>-47.82011671815998</v>
      </c>
      <c r="F37" s="58">
        <v>-42.354124748490932</v>
      </c>
      <c r="G37" s="58">
        <v>-27.170767004341499</v>
      </c>
      <c r="H37" s="58">
        <v>-30.477931574823714</v>
      </c>
      <c r="I37" s="58">
        <v>-42.592019795855215</v>
      </c>
    </row>
    <row r="38" spans="1:9" ht="14" customHeight="1" x14ac:dyDescent="0.45">
      <c r="A38" s="1" t="s">
        <v>40</v>
      </c>
      <c r="B38" s="56">
        <v>51.215423302598474</v>
      </c>
      <c r="C38" s="56">
        <v>68.996763754045361</v>
      </c>
      <c r="D38" s="56">
        <v>118.2634730538922</v>
      </c>
      <c r="E38" s="60">
        <v>54.60883036405879</v>
      </c>
      <c r="F38" s="60">
        <v>51.851851851851862</v>
      </c>
      <c r="G38" s="56">
        <v>102.44897959183676</v>
      </c>
      <c r="H38" s="60">
        <v>21.944539541253015</v>
      </c>
      <c r="I38" s="60">
        <v>24.212778966676819</v>
      </c>
    </row>
    <row r="39" spans="1:9" ht="14" customHeight="1" x14ac:dyDescent="0.45">
      <c r="A39" s="98" t="s">
        <v>41</v>
      </c>
      <c r="B39" s="62">
        <v>-18.259629101283849</v>
      </c>
      <c r="C39" s="62">
        <v>-27.901309777642414</v>
      </c>
      <c r="D39" s="62">
        <v>-29.329608938547512</v>
      </c>
      <c r="E39" s="62">
        <v>-33.333333333333371</v>
      </c>
      <c r="F39" s="62">
        <v>-32.339791356184776</v>
      </c>
      <c r="G39" s="65">
        <v>-3.700588730025256</v>
      </c>
      <c r="H39" s="62">
        <v>-35.291858678955471</v>
      </c>
      <c r="I39" s="62">
        <v>-15.551401869158843</v>
      </c>
    </row>
    <row r="40" spans="1:9" ht="14" customHeight="1" x14ac:dyDescent="0.45">
      <c r="A40" s="55" t="s">
        <v>42</v>
      </c>
      <c r="B40" s="168"/>
      <c r="C40" s="168"/>
      <c r="D40" s="168"/>
      <c r="E40" s="168"/>
      <c r="F40" s="168"/>
      <c r="G40" s="168"/>
      <c r="H40" s="168"/>
      <c r="I40" s="168"/>
    </row>
    <row r="41" spans="1:9" ht="14" customHeight="1" x14ac:dyDescent="0.45">
      <c r="A41" s="48" t="s">
        <v>43</v>
      </c>
      <c r="B41" s="131" t="s">
        <v>59</v>
      </c>
      <c r="C41" s="56">
        <v>-46.999405822935223</v>
      </c>
      <c r="D41" s="56">
        <v>-13.713290194126426</v>
      </c>
      <c r="E41" s="131" t="s">
        <v>59</v>
      </c>
      <c r="F41" s="56">
        <v>-29.118404118404118</v>
      </c>
      <c r="G41" s="56">
        <v>-24.973832949549934</v>
      </c>
      <c r="H41" s="56">
        <v>-67.681047765793508</v>
      </c>
      <c r="I41" s="60">
        <v>-10.398289227479262</v>
      </c>
    </row>
    <row r="42" spans="1:9" ht="14" customHeight="1" x14ac:dyDescent="0.45">
      <c r="A42" s="57" t="s">
        <v>44</v>
      </c>
      <c r="B42" s="58">
        <v>-27.188081936685272</v>
      </c>
      <c r="C42" s="58">
        <v>-25.986696230598692</v>
      </c>
      <c r="D42" s="58">
        <v>-32.615816565278408</v>
      </c>
      <c r="E42" s="58">
        <v>-25.268817204301076</v>
      </c>
      <c r="F42" s="58">
        <v>-27.63222936233316</v>
      </c>
      <c r="G42" s="63">
        <v>-29.880478087649422</v>
      </c>
      <c r="H42" s="58">
        <v>-27.645280483708422</v>
      </c>
      <c r="I42" s="58">
        <v>-29.442970822281179</v>
      </c>
    </row>
    <row r="43" spans="1:9" ht="14" customHeight="1" x14ac:dyDescent="0.45">
      <c r="A43" s="48" t="s">
        <v>52</v>
      </c>
      <c r="B43" s="60">
        <v>-22.64189886480905</v>
      </c>
      <c r="C43" s="56">
        <v>-24.177987792872614</v>
      </c>
      <c r="D43" s="56">
        <v>-37.967339922647184</v>
      </c>
      <c r="E43" s="56">
        <v>-20.317205380445678</v>
      </c>
      <c r="F43" s="56">
        <v>-28.751617076326006</v>
      </c>
      <c r="G43" s="56">
        <v>-43.981782693558877</v>
      </c>
      <c r="H43" s="56">
        <v>-23.652837386742952</v>
      </c>
      <c r="I43" s="56">
        <v>-29.26103866392128</v>
      </c>
    </row>
    <row r="44" spans="1:9" ht="14" customHeight="1" x14ac:dyDescent="0.45">
      <c r="A44" s="57" t="s">
        <v>45</v>
      </c>
      <c r="B44" s="58">
        <v>-50.684931506849331</v>
      </c>
      <c r="C44" s="58">
        <v>-49.999999999999986</v>
      </c>
      <c r="D44" s="58">
        <v>-52.948113207547173</v>
      </c>
      <c r="E44" s="58">
        <v>-53.841572364502667</v>
      </c>
      <c r="F44" s="58">
        <v>-41.162310866574956</v>
      </c>
      <c r="G44" s="58">
        <v>-55.409705648369126</v>
      </c>
      <c r="H44" s="58">
        <v>-34.571890145395813</v>
      </c>
      <c r="I44" s="58">
        <v>-40.756756756756751</v>
      </c>
    </row>
    <row r="45" spans="1:9" ht="14" customHeight="1" x14ac:dyDescent="0.45">
      <c r="A45" s="66" t="s">
        <v>46</v>
      </c>
      <c r="B45" s="67">
        <v>-43.184421534937009</v>
      </c>
      <c r="C45" s="67">
        <v>-28.448612739351287</v>
      </c>
      <c r="D45" s="67">
        <v>-43.307086614173215</v>
      </c>
      <c r="E45" s="67">
        <v>-41.408821593153377</v>
      </c>
      <c r="F45" s="67">
        <v>-57.962368058742527</v>
      </c>
      <c r="G45" s="67">
        <v>-54.247572815533985</v>
      </c>
      <c r="H45" s="67">
        <v>-41.477547078705946</v>
      </c>
      <c r="I45" s="67">
        <v>-54.32835820895523</v>
      </c>
    </row>
    <row r="46" spans="1:9" x14ac:dyDescent="0.45">
      <c r="A46" s="68"/>
      <c r="B46" s="78"/>
      <c r="C46" s="78"/>
      <c r="D46" s="78"/>
      <c r="E46" s="78"/>
      <c r="F46" s="78"/>
      <c r="G46" s="78"/>
      <c r="H46" s="78"/>
      <c r="I46" s="78"/>
    </row>
    <row r="47" spans="1:9" x14ac:dyDescent="0.45">
      <c r="A47" s="68" t="s">
        <v>12</v>
      </c>
      <c r="B47" s="69"/>
      <c r="C47" s="70"/>
      <c r="D47" s="70"/>
      <c r="E47" s="69"/>
      <c r="F47" s="70"/>
      <c r="G47" s="70"/>
      <c r="H47" s="70"/>
      <c r="I47" s="70"/>
    </row>
    <row r="48" spans="1:9" x14ac:dyDescent="0.45">
      <c r="A48" s="71" t="s">
        <v>53</v>
      </c>
      <c r="B48" s="71"/>
      <c r="C48" s="71"/>
      <c r="D48" s="71"/>
      <c r="E48" s="71"/>
      <c r="F48" s="71"/>
      <c r="G48" s="71"/>
      <c r="H48" s="71"/>
      <c r="I48" s="71"/>
    </row>
    <row r="49" spans="1:9" x14ac:dyDescent="0.45">
      <c r="A49" s="72" t="s">
        <v>14</v>
      </c>
      <c r="B49" s="69"/>
      <c r="C49" s="70"/>
      <c r="D49" s="70"/>
      <c r="E49" s="69"/>
      <c r="F49" s="70"/>
      <c r="G49" s="70"/>
      <c r="H49" s="70"/>
      <c r="I49" s="70"/>
    </row>
    <row r="50" spans="1:9" x14ac:dyDescent="0.45">
      <c r="A50" s="73" t="s">
        <v>15</v>
      </c>
      <c r="B50" s="74"/>
      <c r="C50" s="74"/>
      <c r="D50" s="74"/>
      <c r="E50" s="74"/>
      <c r="F50" s="74"/>
      <c r="G50" s="74"/>
      <c r="H50" s="74"/>
      <c r="I50" s="74"/>
    </row>
    <row r="51" spans="1:9" x14ac:dyDescent="0.45">
      <c r="A51" s="73"/>
      <c r="B51" s="6"/>
      <c r="C51" s="7"/>
      <c r="D51" s="6"/>
      <c r="E51" s="7"/>
      <c r="F51" s="6"/>
      <c r="G51" s="7"/>
      <c r="H51" s="6"/>
      <c r="I51" s="7"/>
    </row>
    <row r="52" spans="1:9" x14ac:dyDescent="0.45">
      <c r="A52" s="75" t="str">
        <f>+Índice!A14</f>
        <v>Fecha de actualización: 8 de marzo de 2024</v>
      </c>
      <c r="B52" s="6"/>
      <c r="C52" s="7"/>
      <c r="D52" s="6"/>
      <c r="E52" s="7"/>
      <c r="F52" s="6"/>
      <c r="G52" s="7"/>
      <c r="H52" s="6"/>
      <c r="I52" s="7"/>
    </row>
    <row r="53" spans="1:9" x14ac:dyDescent="0.45">
      <c r="A53" s="73"/>
      <c r="B53" s="6"/>
      <c r="C53" s="7"/>
      <c r="D53" s="6"/>
      <c r="E53" s="7"/>
      <c r="F53" s="6"/>
      <c r="G53" s="7"/>
      <c r="H53" s="6"/>
      <c r="I53" s="7"/>
    </row>
    <row r="54" spans="1:9" x14ac:dyDescent="0.45">
      <c r="A54" s="73"/>
      <c r="B54" s="6"/>
      <c r="C54" s="7"/>
      <c r="D54" s="6"/>
      <c r="E54" s="7"/>
      <c r="F54" s="6"/>
      <c r="G54" s="7"/>
      <c r="H54" s="6"/>
      <c r="I54" s="7"/>
    </row>
    <row r="55" spans="1:9" x14ac:dyDescent="0.45">
      <c r="A55" s="73"/>
      <c r="B55" s="6"/>
      <c r="C55" s="7"/>
      <c r="D55" s="6"/>
      <c r="E55" s="7"/>
      <c r="F55" s="6"/>
      <c r="G55" s="7"/>
      <c r="H55" s="6"/>
      <c r="I55" s="7"/>
    </row>
  </sheetData>
  <mergeCells count="1">
    <mergeCell ref="A4:I5"/>
  </mergeCells>
  <pageMargins left="0.75" right="0.75" top="1" bottom="1" header="0.5" footer="0.5"/>
  <pageSetup orientation="portrait" horizontalDpi="4294967292" verticalDpi="4294967292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Índice</vt:lpstr>
      <vt:lpstr>Anexo 1</vt:lpstr>
      <vt:lpstr>Anexo 2</vt:lpstr>
      <vt:lpstr>Anexo 3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LMChaparroC</dc:creator>
  <cp:lastModifiedBy>Elsa Beatriz Hernandez Gomez</cp:lastModifiedBy>
  <cp:lastPrinted>2018-10-02T21:35:14Z</cp:lastPrinted>
  <dcterms:created xsi:type="dcterms:W3CDTF">2007-01-25T17:17:56Z</dcterms:created>
  <dcterms:modified xsi:type="dcterms:W3CDTF">2024-03-04T15:33:58Z</dcterms:modified>
</cp:coreProperties>
</file>