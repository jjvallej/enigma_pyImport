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ebhernandezg_dane_gov_co/Documents/VARIOS/MENSUAL/Abril 24/"/>
    </mc:Choice>
  </mc:AlternateContent>
  <xr:revisionPtr revIDLastSave="5" documentId="13_ncr:1_{F17E6E3E-2A6A-45FB-BCF7-B95EACA3A8C3}" xr6:coauthVersionLast="47" xr6:coauthVersionMax="47" xr10:uidLastSave="{D5E7E61F-2187-469E-8E9D-F75B1D4262EB}"/>
  <bookViews>
    <workbookView xWindow="-110" yWindow="-110" windowWidth="19420" windowHeight="10300" tabRatio="815" xr2:uid="{00000000-000D-0000-FFFF-FFFF00000000}"/>
  </bookViews>
  <sheets>
    <sheet name="Índice" sheetId="519" r:id="rId1"/>
    <sheet name="Anexo 1" sheetId="520" r:id="rId2"/>
    <sheet name="Anexo 2" sheetId="521" r:id="rId3"/>
    <sheet name="Anexo 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522" l="1"/>
  <c r="A12" i="519" s="1"/>
  <c r="A7" i="521"/>
  <c r="A11" i="519" s="1"/>
  <c r="A7" i="520"/>
  <c r="A80" i="520"/>
  <c r="A52" i="521"/>
  <c r="A52" i="522"/>
  <c r="A10" i="519" l="1"/>
</calcChain>
</file>

<file path=xl/sharedStrings.xml><?xml version="1.0" encoding="utf-8"?>
<sst xmlns="http://schemas.openxmlformats.org/spreadsheetml/2006/main" count="352" uniqueCount="89">
  <si>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</si>
  <si>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</si>
  <si>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</si>
  <si>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</si>
  <si>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</si>
  <si>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</si>
  <si>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</si>
  <si>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</si>
  <si>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</si>
  <si>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</si>
  <si>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</si>
  <si>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</si>
  <si>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</si>
  <si>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</si>
  <si>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</si>
  <si>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</si>
  <si>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</si>
  <si>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</si>
  <si>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</si>
  <si>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</si>
  <si>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</si>
  <si>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</si>
  <si>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</si>
  <si>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</si>
  <si>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</si>
  <si>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</si>
  <si>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</si>
  <si>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</si>
  <si>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</si>
  <si>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</si>
  <si>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</si>
  <si>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</si>
  <si>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</si>
  <si>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</si>
  <si>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</si>
  <si>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</si>
  <si>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</si>
  <si>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</si>
  <si>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</si>
  <si>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</si>
  <si>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</si>
  <si>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</si>
  <si>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</si>
  <si>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</si>
  <si>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</si>
  <si>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</si>
  <si>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</si>
  <si>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</si>
  <si>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</si>
  <si>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</si>
  <si>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</si>
  <si>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</si>
  <si>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</si>
  <si>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</si>
  <si>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</si>
  <si>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</si>
  <si>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</si>
  <si>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Naranja*</t>
  </si>
  <si>
    <t>Abril de 2024</t>
  </si>
  <si>
    <t>Fecha de actualización: 9 de mayo de 2024</t>
  </si>
  <si>
    <t>n.d.</t>
  </si>
  <si>
    <t>-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</si>
  <si>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</si>
  <si>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</si>
  <si>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</si>
  <si>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</si>
  <si>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</si>
  <si>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</si>
  <si>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</si>
  <si>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</si>
  <si>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</si>
  <si>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A**</t>
  </si>
  <si>
    <t>Leche en polvo</t>
  </si>
  <si>
    <t>Queso costeño</t>
  </si>
  <si>
    <t>Carne de cerdo, brazo sin hueso</t>
  </si>
  <si>
    <t>Pechuga de pollo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</si>
  <si>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</si>
  <si>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</si>
  <si>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</si>
  <si>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</si>
  <si>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</si>
  <si>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</si>
  <si>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</si>
  <si>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</si>
  <si>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</si>
  <si>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</si>
  <si>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</si>
  <si>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</si>
  <si>
    <t>Carne de res, lomo fino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</si>
</sst>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2" fillId="31" borderId="0" xfId="31" quotePrefix="1" applyFill="1" applyBorder="1" applyAlignment="1" applyProtection="1">
      <alignment vertical="center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right" vertical="justify"/>
    </xf>
    <xf numFmtId="3" fontId="24" fillId="0" borderId="0" xfId="34" applyNumberFormat="1" applyFont="1" applyFill="1" applyBorder="1" applyAlignment="1">
      <alignment horizontal="center" vertical="center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17" fillId="33" borderId="0" xfId="43" applyFont="1" applyFill="1"/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>
      <alignment horizontal="right" vertical="center"/>
    </xf>
    <xf numFmtId="0" fontId="17" fillId="33" borderId="2" xfId="43" applyFont="1" applyFill="1" applyBorder="1"/>
    <xf numFmtId="4" fontId="31" fillId="33" borderId="2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0" fontId="17" fillId="0" borderId="2" xfId="43" applyFont="1" applyBorder="1"/>
    <xf numFmtId="4" fontId="31" fillId="0" borderId="2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4" fontId="24" fillId="0" borderId="0" xfId="33" applyNumberFormat="1" applyFont="1" applyFill="1" applyBorder="1" applyAlignment="1">
      <alignment horizontal="right"/>
    </xf>
    <xf numFmtId="167" fontId="24" fillId="33" borderId="0" xfId="33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31" fillId="33" borderId="2" xfId="33" applyNumberFormat="1" applyFont="1" applyFill="1" applyBorder="1" applyAlignment="1">
      <alignment horizontal="right" vertical="justify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4" fillId="0" borderId="0" xfId="34" applyNumberFormat="1" applyFont="1" applyFill="1" applyBorder="1" applyAlignment="1">
      <alignment horizontal="right"/>
    </xf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33" borderId="0" xfId="34" applyNumberFormat="1" applyFont="1" applyFill="1" applyBorder="1" applyAlignment="1">
      <alignment horizontal="right" vertical="justify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0" borderId="0" xfId="34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3" borderId="3" xfId="0" applyFont="1" applyFill="1" applyBorder="1" applyAlignment="1">
      <alignment horizontal="centerContinuous"/>
    </xf>
    <xf numFmtId="4" fontId="21" fillId="33" borderId="3" xfId="0" applyNumberFormat="1" applyFont="1" applyFill="1" applyBorder="1" applyAlignment="1">
      <alignment horizontal="centerContinuous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justify"/>
    </xf>
    <xf numFmtId="4" fontId="31" fillId="0" borderId="0" xfId="33" applyNumberFormat="1" applyFont="1" applyFill="1" applyBorder="1" applyAlignment="1" applyProtection="1">
      <alignment horizontal="right" vertical="center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164" fontId="24" fillId="0" borderId="0" xfId="34" applyFont="1" applyAlignment="1">
      <alignment horizontal="right"/>
    </xf>
    <xf numFmtId="0" fontId="24" fillId="0" borderId="0" xfId="34" applyNumberFormat="1" applyFont="1" applyFill="1" applyBorder="1" applyAlignment="1">
      <alignment horizontal="center" vertical="center"/>
    </xf>
    <xf numFmtId="2" fontId="24" fillId="33" borderId="0" xfId="34" applyNumberFormat="1" applyFont="1" applyFill="1" applyBorder="1" applyAlignment="1">
      <alignment vertical="center"/>
    </xf>
    <xf numFmtId="2" fontId="24" fillId="0" borderId="0" xfId="34" applyNumberFormat="1" applyFont="1" applyFill="1" applyBorder="1" applyAlignment="1">
      <alignment vertical="center"/>
    </xf>
    <xf numFmtId="2" fontId="24" fillId="0" borderId="0" xfId="34" applyNumberFormat="1" applyFont="1" applyFill="1" applyBorder="1" applyAlignment="1">
      <alignment horizontal="right" vertical="center"/>
    </xf>
    <xf numFmtId="2" fontId="24" fillId="0" borderId="2" xfId="34" applyNumberFormat="1" applyFont="1" applyFill="1" applyBorder="1" applyAlignment="1">
      <alignment horizontal="right" vertical="center"/>
    </xf>
    <xf numFmtId="0" fontId="24" fillId="33" borderId="0" xfId="34" applyNumberFormat="1" applyFont="1" applyFill="1" applyBorder="1" applyAlignment="1">
      <alignment horizontal="center" vertical="center"/>
    </xf>
    <xf numFmtId="0" fontId="23" fillId="33" borderId="2" xfId="0" applyFont="1" applyFill="1" applyBorder="1"/>
    <xf numFmtId="3" fontId="24" fillId="33" borderId="2" xfId="0" applyNumberFormat="1" applyFont="1" applyFill="1" applyBorder="1" applyAlignment="1">
      <alignment horizontal="right"/>
    </xf>
    <xf numFmtId="4" fontId="24" fillId="33" borderId="2" xfId="0" applyNumberFormat="1" applyFont="1" applyFill="1" applyBorder="1" applyAlignment="1">
      <alignment horizontal="right"/>
    </xf>
    <xf numFmtId="3" fontId="24" fillId="33" borderId="2" xfId="0" applyNumberFormat="1" applyFont="1" applyFill="1" applyBorder="1" applyAlignment="1">
      <alignment horizontal="right" vertical="center"/>
    </xf>
    <xf numFmtId="4" fontId="24" fillId="33" borderId="2" xfId="0" applyNumberFormat="1" applyFont="1" applyFill="1" applyBorder="1" applyAlignment="1">
      <alignment horizontal="right" vertical="center"/>
    </xf>
    <xf numFmtId="0" fontId="24" fillId="33" borderId="2" xfId="0" applyFont="1" applyFill="1" applyBorder="1" applyAlignment="1">
      <alignment horizontal="center" vertical="center"/>
    </xf>
    <xf numFmtId="0" fontId="24" fillId="33" borderId="2" xfId="0" applyFont="1" applyFill="1" applyBorder="1" applyAlignment="1">
      <alignment horizontal="right" vertical="center"/>
    </xf>
    <xf numFmtId="2" fontId="24" fillId="33" borderId="2" xfId="0" applyNumberFormat="1" applyFont="1" applyFill="1" applyBorder="1" applyAlignment="1">
      <alignment horizontal="right" vertical="center"/>
    </xf>
    <xf numFmtId="4" fontId="31" fillId="33" borderId="0" xfId="33" applyNumberFormat="1" applyFont="1" applyFill="1" applyBorder="1" applyAlignment="1">
      <alignment horizontal="center"/>
    </xf>
    <xf numFmtId="0" fontId="27" fillId="32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  <xf numFmtId="3" fontId="24" fillId="0" borderId="2" xfId="34" applyNumberFormat="1" applyFont="1" applyFill="1" applyBorder="1" applyAlignment="1">
      <alignment horizontal="center" vertical="center"/>
    </xf>
    <xf numFmtId="0" fontId="24" fillId="0" borderId="2" xfId="34" applyNumberFormat="1" applyFont="1" applyFill="1" applyBorder="1" applyAlignment="1">
      <alignment horizontal="center" vertical="center"/>
    </xf>
    <xf numFmtId="4" fontId="24" fillId="33" borderId="0" xfId="0" applyNumberFormat="1" applyFont="1" applyFill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3" fontId="24" fillId="33" borderId="2" xfId="0" applyNumberFormat="1" applyFont="1" applyFill="1" applyBorder="1" applyAlignment="1">
      <alignment horizontal="center" vertical="center"/>
    </xf>
    <xf numFmtId="0" fontId="29" fillId="33" borderId="0" xfId="0" applyFont="1" applyFill="1" applyAlignment="1">
      <alignment horizontal="centerContinuous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117923</xdr:colOff>
      <xdr:row>0</xdr:row>
      <xdr:rowOff>117922</xdr:rowOff>
    </xdr:from>
    <xdr:to>
      <xdr:col>11</xdr:col>
      <xdr:colOff>794799</xdr:colOff>
      <xdr:row>3</xdr:row>
      <xdr:rowOff>226786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6F869A5-040C-A07A-895E-A02D15904AB2}"/>
            </a:ext>
          </a:extLst>
        </xdr:cNvPr>
        <xdr:cNvGrpSpPr/>
      </xdr:nvGrpSpPr>
      <xdr:grpSpPr>
        <a:xfrm>
          <a:off x="117923" y="117922"/>
          <a:ext cx="9276590" cy="952507"/>
          <a:chOff x="117923" y="117922"/>
          <a:chExt cx="9276590" cy="952507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EC5C623D-E846-7844-B31F-7ED4E0C818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6C708EB2-DBDC-7983-BB8E-AA47F03ADF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C2267695-EF5B-4C04-A0D5-31E4797E5A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104588</xdr:colOff>
      <xdr:row>0</xdr:row>
      <xdr:rowOff>112058</xdr:rowOff>
    </xdr:from>
    <xdr:to>
      <xdr:col>16</xdr:col>
      <xdr:colOff>371649</xdr:colOff>
      <xdr:row>2</xdr:row>
      <xdr:rowOff>459447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9FB54041-51D8-4BD6-BBB9-7DD6309018B8}"/>
            </a:ext>
          </a:extLst>
        </xdr:cNvPr>
        <xdr:cNvGrpSpPr/>
      </xdr:nvGrpSpPr>
      <xdr:grpSpPr>
        <a:xfrm>
          <a:off x="104588" y="112058"/>
          <a:ext cx="9276590" cy="952507"/>
          <a:chOff x="117923" y="117922"/>
          <a:chExt cx="9276590" cy="952507"/>
        </a:xfrm>
      </xdr:grpSpPr>
      <xdr:pic>
        <xdr:nvPicPr>
          <xdr:cNvPr id="6" name="Imagen 12">
            <a:extLst>
              <a:ext uri="{FF2B5EF4-FFF2-40B4-BE49-F238E27FC236}">
                <a16:creationId xmlns:a16="http://schemas.microsoft.com/office/drawing/2014/main" id="{5A36D389-2E3D-D7C7-A7A3-BBD7060128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n 17">
            <a:extLst>
              <a:ext uri="{FF2B5EF4-FFF2-40B4-BE49-F238E27FC236}">
                <a16:creationId xmlns:a16="http://schemas.microsoft.com/office/drawing/2014/main" id="{3DED9682-B4FD-F0E7-2B10-7115A8D1CC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C603BE59-7FB2-9130-FC01-28DCC9F625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82550</xdr:rowOff>
    </xdr:from>
    <xdr:to>
      <xdr:col>9</xdr:col>
      <xdr:colOff>31750</xdr:colOff>
      <xdr:row>2</xdr:row>
      <xdr:rowOff>231605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AD5341D-277B-4E5A-A250-7FF3DAB63E31}"/>
            </a:ext>
          </a:extLst>
        </xdr:cNvPr>
        <xdr:cNvGrpSpPr>
          <a:grpSpLocks noChangeAspect="1"/>
        </xdr:cNvGrpSpPr>
      </xdr:nvGrpSpPr>
      <xdr:grpSpPr>
        <a:xfrm>
          <a:off x="25400" y="82550"/>
          <a:ext cx="7744279" cy="793126"/>
          <a:chOff x="117923" y="117922"/>
          <a:chExt cx="9276590" cy="952507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2EED3DA3-D9D1-F5AC-8C3F-95B31FE8E9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A10EFA9F-8DCD-3A34-28E2-39F02B0C08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17">
            <a:extLst>
              <a:ext uri="{FF2B5EF4-FFF2-40B4-BE49-F238E27FC236}">
                <a16:creationId xmlns:a16="http://schemas.microsoft.com/office/drawing/2014/main" id="{E8063692-60C0-AB45-F120-E52658D44A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9</xdr:col>
      <xdr:colOff>6350</xdr:colOff>
      <xdr:row>2</xdr:row>
      <xdr:rowOff>237955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D6741C9D-BFC4-4D3D-ACA4-758A8756284A}"/>
            </a:ext>
          </a:extLst>
        </xdr:cNvPr>
        <xdr:cNvGrpSpPr>
          <a:grpSpLocks noChangeAspect="1"/>
        </xdr:cNvGrpSpPr>
      </xdr:nvGrpSpPr>
      <xdr:grpSpPr>
        <a:xfrm>
          <a:off x="0" y="95250"/>
          <a:ext cx="7759700" cy="796755"/>
          <a:chOff x="117923" y="117922"/>
          <a:chExt cx="9276590" cy="952507"/>
        </a:xfrm>
      </xdr:grpSpPr>
      <xdr:pic>
        <xdr:nvPicPr>
          <xdr:cNvPr id="12" name="Imagen 12">
            <a:extLst>
              <a:ext uri="{FF2B5EF4-FFF2-40B4-BE49-F238E27FC236}">
                <a16:creationId xmlns:a16="http://schemas.microsoft.com/office/drawing/2014/main" id="{94CFBC04-A8B5-CFA4-DB15-DAB1CC7293C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" name="Imagen 17">
            <a:extLst>
              <a:ext uri="{FF2B5EF4-FFF2-40B4-BE49-F238E27FC236}">
                <a16:creationId xmlns:a16="http://schemas.microsoft.com/office/drawing/2014/main" id="{60EA8724-E23F-B333-91F3-EAD0B5C0C7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Imagen 17">
            <a:extLst>
              <a:ext uri="{FF2B5EF4-FFF2-40B4-BE49-F238E27FC236}">
                <a16:creationId xmlns:a16="http://schemas.microsoft.com/office/drawing/2014/main" id="{5FF1FA69-5445-F33D-7F14-CBD60944602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5" sqref="A5:L6"/>
    </sheetView>
  </sheetViews>
  <sheetFormatPr baseColWidth="10" defaultColWidth="11.453125" defaultRowHeight="16" x14ac:dyDescent="0.45"/>
  <cols>
    <col min="1" max="1" width="6.26953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4" ht="22" customHeight="1" x14ac:dyDescent="0.4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1:14" ht="22" customHeight="1" x14ac:dyDescent="0.45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N3" s="4"/>
    </row>
    <row r="4" spans="1:14" ht="22" customHeight="1" x14ac:dyDescent="0.45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</row>
    <row r="5" spans="1:14" ht="36" customHeight="1" x14ac:dyDescent="0.45">
      <c r="A5" s="149" t="s">
        <v>47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</row>
    <row r="6" spans="1:14" ht="31.5" customHeight="1" x14ac:dyDescent="0.4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</row>
    <row r="7" spans="1:14" x14ac:dyDescent="0.45">
      <c r="A7" s="147" t="s">
        <v>58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</row>
    <row r="8" spans="1:14" ht="15" customHeight="1" x14ac:dyDescent="0.45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</row>
    <row r="9" spans="1:14" x14ac:dyDescent="0.45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</row>
    <row r="10" spans="1:14" s="10" customFormat="1" ht="31.5" customHeight="1" x14ac:dyDescent="0.25">
      <c r="A10" s="19" t="str">
        <f>+"Anexo 1. "&amp;'Anexo 1'!A6&amp;" "&amp;'Anexo 1'!A7</f>
        <v>Anexo 1. Comportamiento de los precios mayoristas de los principales alimentos en las principales ocho ciudades. Variación mensual. Abril de 2024</v>
      </c>
    </row>
    <row r="11" spans="1:14" s="10" customFormat="1" ht="31.5" customHeight="1" x14ac:dyDescent="0.25">
      <c r="A11" s="19" t="str">
        <f>+"Anexo 2. "&amp;'Anexo 2'!A6&amp;" "&amp;'Anexo 2'!A7</f>
        <v>Anexo 2. Comportamiento de los precios mayoristas de los principales alimentos en las principales ocho ciudades. Variación año corrido. Abril de 2024</v>
      </c>
    </row>
    <row r="12" spans="1:14" s="10" customFormat="1" ht="31.5" customHeight="1" x14ac:dyDescent="0.25">
      <c r="A12" s="19" t="str">
        <f>+"Anexo 3. "&amp;'Anexo 3'!A6&amp;" "&amp;'Anexo 3'!A7</f>
        <v>Anexo 3. Comportamiento de los precios mayoristas de los principales alimentos en las principales ocho ciudades. Variación anual. Abril de 2024</v>
      </c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59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A11" location="'Anexo 1'!A1" display="'Anexo 1'!A1" xr:uid="{549AA18A-F416-4462-A600-6B2E456340C2}"/>
    <hyperlink ref="A12" location="'Anexo 1'!A1" display="'Anexo 1'!A1" xr:uid="{0B4092F7-A9A7-4AEB-82ED-D56014BF70B6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0"/>
  <sheetViews>
    <sheetView showGridLines="0" topLeftCell="A45" zoomScale="85" zoomScaleNormal="85" workbookViewId="0">
      <selection activeCell="A60" sqref="A60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7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7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7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7" s="1" customFormat="1" ht="18.75" customHeight="1" x14ac:dyDescent="0.4">
      <c r="A4" s="152" t="s">
        <v>0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1" customFormat="1" ht="24" customHeight="1" x14ac:dyDescent="0.4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7" ht="19.5" customHeight="1" x14ac:dyDescent="0.45">
      <c r="A7" s="2" t="str">
        <f>+"Variación mensual. "&amp;Índice!A7</f>
        <v>Variación mensual. Abril de 2024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7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7" x14ac:dyDescent="0.45">
      <c r="A9" s="155" t="s">
        <v>1</v>
      </c>
      <c r="B9" s="154" t="s">
        <v>2</v>
      </c>
      <c r="C9" s="154"/>
      <c r="D9" s="154" t="s">
        <v>3</v>
      </c>
      <c r="E9" s="154"/>
      <c r="F9" s="154" t="s">
        <v>4</v>
      </c>
      <c r="G9" s="154"/>
      <c r="H9" s="153" t="s">
        <v>5</v>
      </c>
      <c r="I9" s="153"/>
      <c r="J9" s="154" t="s">
        <v>6</v>
      </c>
      <c r="K9" s="154"/>
      <c r="L9" s="154" t="s">
        <v>7</v>
      </c>
      <c r="M9" s="154"/>
      <c r="N9" s="154" t="s">
        <v>8</v>
      </c>
      <c r="O9" s="154"/>
      <c r="P9" s="154" t="s">
        <v>9</v>
      </c>
      <c r="Q9" s="154"/>
    </row>
    <row r="10" spans="1:17" x14ac:dyDescent="0.45">
      <c r="A10" s="156"/>
      <c r="B10" s="5" t="s">
        <v>10</v>
      </c>
      <c r="C10" s="20" t="s">
        <v>11</v>
      </c>
      <c r="D10" s="5" t="s">
        <v>10</v>
      </c>
      <c r="E10" s="20" t="s">
        <v>11</v>
      </c>
      <c r="F10" s="5" t="s">
        <v>10</v>
      </c>
      <c r="G10" s="20" t="s">
        <v>11</v>
      </c>
      <c r="H10" s="5" t="s">
        <v>10</v>
      </c>
      <c r="I10" s="20" t="s">
        <v>11</v>
      </c>
      <c r="J10" s="5" t="s">
        <v>10</v>
      </c>
      <c r="K10" s="20" t="s">
        <v>11</v>
      </c>
      <c r="L10" s="5" t="s">
        <v>10</v>
      </c>
      <c r="M10" s="20" t="s">
        <v>11</v>
      </c>
      <c r="N10" s="5" t="s">
        <v>10</v>
      </c>
      <c r="O10" s="20" t="s">
        <v>11</v>
      </c>
      <c r="P10" s="5" t="s">
        <v>10</v>
      </c>
      <c r="Q10" s="20" t="s">
        <v>11</v>
      </c>
    </row>
    <row r="11" spans="1:17" s="100" customFormat="1" ht="12" customHeight="1" x14ac:dyDescent="0.4">
      <c r="A11" s="115" t="s">
        <v>17</v>
      </c>
      <c r="B11" s="115"/>
      <c r="C11" s="116"/>
      <c r="D11" s="115"/>
      <c r="E11" s="116"/>
      <c r="F11" s="115"/>
      <c r="G11" s="116"/>
      <c r="H11" s="115"/>
      <c r="I11" s="116"/>
      <c r="J11" s="115"/>
      <c r="K11" s="116"/>
      <c r="L11" s="115"/>
      <c r="M11" s="116"/>
      <c r="N11" s="115"/>
      <c r="O11" s="116"/>
      <c r="P11" s="115"/>
      <c r="Q11" s="116"/>
    </row>
    <row r="12" spans="1:17" s="100" customFormat="1" ht="12" customHeight="1" x14ac:dyDescent="0.4">
      <c r="A12" s="21" t="s">
        <v>18</v>
      </c>
      <c r="B12" s="23">
        <v>935</v>
      </c>
      <c r="C12" s="83">
        <v>-6.69</v>
      </c>
      <c r="D12" s="22">
        <v>1578</v>
      </c>
      <c r="E12" s="84">
        <v>3.75</v>
      </c>
      <c r="F12" s="22">
        <v>1350</v>
      </c>
      <c r="G12" s="84">
        <v>-15.94</v>
      </c>
      <c r="H12" s="27" t="s">
        <v>60</v>
      </c>
      <c r="I12" s="137" t="s">
        <v>61</v>
      </c>
      <c r="J12" s="22">
        <v>953</v>
      </c>
      <c r="K12" s="84">
        <v>3.81</v>
      </c>
      <c r="L12" s="22">
        <v>1587</v>
      </c>
      <c r="M12" s="84">
        <v>-9.6199999999999992</v>
      </c>
      <c r="N12" s="22">
        <v>967</v>
      </c>
      <c r="O12" s="84">
        <v>5.8</v>
      </c>
      <c r="P12" s="23">
        <v>1641</v>
      </c>
      <c r="Q12" s="85">
        <v>-6.44</v>
      </c>
    </row>
    <row r="13" spans="1:17" s="100" customFormat="1" ht="12" customHeight="1" x14ac:dyDescent="0.4">
      <c r="A13" s="24" t="s">
        <v>19</v>
      </c>
      <c r="B13" s="25">
        <v>9950</v>
      </c>
      <c r="C13" s="86">
        <v>-0.03</v>
      </c>
      <c r="D13" s="25">
        <v>5889</v>
      </c>
      <c r="E13" s="87">
        <v>24.19</v>
      </c>
      <c r="F13" s="25">
        <v>4947</v>
      </c>
      <c r="G13" s="87">
        <v>-1.9</v>
      </c>
      <c r="H13" s="29" t="s">
        <v>60</v>
      </c>
      <c r="I13" s="132" t="s">
        <v>61</v>
      </c>
      <c r="J13" s="25">
        <v>4107</v>
      </c>
      <c r="K13" s="86">
        <v>32.14</v>
      </c>
      <c r="L13" s="25">
        <v>6943</v>
      </c>
      <c r="M13" s="87">
        <v>12.67</v>
      </c>
      <c r="N13" s="25">
        <v>5143</v>
      </c>
      <c r="O13" s="87">
        <v>37.81</v>
      </c>
      <c r="P13" s="26">
        <v>5298</v>
      </c>
      <c r="Q13" s="86">
        <v>18.52</v>
      </c>
    </row>
    <row r="14" spans="1:17" s="100" customFormat="1" ht="12" customHeight="1" x14ac:dyDescent="0.4">
      <c r="A14" s="21" t="s">
        <v>20</v>
      </c>
      <c r="B14" s="104">
        <v>1659</v>
      </c>
      <c r="C14" s="105">
        <v>5.33</v>
      </c>
      <c r="D14" s="22">
        <v>1078</v>
      </c>
      <c r="E14" s="84">
        <v>12.76</v>
      </c>
      <c r="F14" s="22">
        <v>1244</v>
      </c>
      <c r="G14" s="84">
        <v>8.4600000000000009</v>
      </c>
      <c r="H14" s="22">
        <v>1564</v>
      </c>
      <c r="I14" s="84">
        <v>16.28</v>
      </c>
      <c r="J14" s="104">
        <v>1592</v>
      </c>
      <c r="K14" s="105">
        <v>12.03</v>
      </c>
      <c r="L14" s="22">
        <v>1246</v>
      </c>
      <c r="M14" s="84">
        <v>7.69</v>
      </c>
      <c r="N14" s="22">
        <v>1284</v>
      </c>
      <c r="O14" s="84">
        <v>13.03</v>
      </c>
      <c r="P14" s="22">
        <v>1380</v>
      </c>
      <c r="Q14" s="84">
        <v>8.41</v>
      </c>
    </row>
    <row r="15" spans="1:17" s="100" customFormat="1" ht="12" customHeight="1" x14ac:dyDescent="0.4">
      <c r="A15" s="24" t="s">
        <v>21</v>
      </c>
      <c r="B15" s="25">
        <v>2330</v>
      </c>
      <c r="C15" s="87">
        <v>-7.87</v>
      </c>
      <c r="D15" s="25">
        <v>2253</v>
      </c>
      <c r="E15" s="87">
        <v>-14.33</v>
      </c>
      <c r="F15" s="25">
        <v>1762</v>
      </c>
      <c r="G15" s="87">
        <v>-9.5500000000000007</v>
      </c>
      <c r="H15" s="26">
        <v>2511</v>
      </c>
      <c r="I15" s="37">
        <v>-20.36</v>
      </c>
      <c r="J15" s="25">
        <v>2037</v>
      </c>
      <c r="K15" s="87">
        <v>-9.27</v>
      </c>
      <c r="L15" s="25">
        <v>1613</v>
      </c>
      <c r="M15" s="87">
        <v>-24.56</v>
      </c>
      <c r="N15" s="25">
        <v>2152</v>
      </c>
      <c r="O15" s="87">
        <v>-14.94</v>
      </c>
      <c r="P15" s="26">
        <v>2133</v>
      </c>
      <c r="Q15" s="86">
        <v>-7.14</v>
      </c>
    </row>
    <row r="16" spans="1:17" s="100" customFormat="1" ht="12" customHeight="1" x14ac:dyDescent="0.4">
      <c r="A16" s="21" t="s">
        <v>22</v>
      </c>
      <c r="B16" s="27" t="s">
        <v>60</v>
      </c>
      <c r="C16" s="137" t="s">
        <v>61</v>
      </c>
      <c r="D16" s="22">
        <v>2891</v>
      </c>
      <c r="E16" s="84">
        <v>-6.53</v>
      </c>
      <c r="F16" s="22">
        <v>1434</v>
      </c>
      <c r="G16" s="84">
        <v>2.5</v>
      </c>
      <c r="H16" s="22">
        <v>1607</v>
      </c>
      <c r="I16" s="84">
        <v>13.49</v>
      </c>
      <c r="J16" s="22">
        <v>2153</v>
      </c>
      <c r="K16" s="84">
        <v>7.87</v>
      </c>
      <c r="L16" s="22">
        <v>1644</v>
      </c>
      <c r="M16" s="84">
        <v>-14.46</v>
      </c>
      <c r="N16" s="22">
        <v>1645</v>
      </c>
      <c r="O16" s="84">
        <v>-2.4900000000000002</v>
      </c>
      <c r="P16" s="27" t="s">
        <v>60</v>
      </c>
      <c r="Q16" s="137" t="s">
        <v>61</v>
      </c>
    </row>
    <row r="17" spans="1:17" s="100" customFormat="1" ht="12" customHeight="1" x14ac:dyDescent="0.4">
      <c r="A17" s="24" t="s">
        <v>23</v>
      </c>
      <c r="B17" s="25">
        <v>2219</v>
      </c>
      <c r="C17" s="87">
        <v>-46.34</v>
      </c>
      <c r="D17" s="25">
        <v>2830</v>
      </c>
      <c r="E17" s="87">
        <v>16.559999999999999</v>
      </c>
      <c r="F17" s="25">
        <v>1620</v>
      </c>
      <c r="G17" s="87">
        <v>-59.12</v>
      </c>
      <c r="H17" s="26">
        <v>2523</v>
      </c>
      <c r="I17" s="86">
        <v>-41.87</v>
      </c>
      <c r="J17" s="25">
        <v>3841</v>
      </c>
      <c r="K17" s="87">
        <v>-26.16</v>
      </c>
      <c r="L17" s="25">
        <v>1670</v>
      </c>
      <c r="M17" s="87">
        <v>-62.94</v>
      </c>
      <c r="N17" s="25">
        <v>1756</v>
      </c>
      <c r="O17" s="87">
        <v>-45.82</v>
      </c>
      <c r="P17" s="26">
        <v>3185</v>
      </c>
      <c r="Q17" s="86">
        <v>-29.85</v>
      </c>
    </row>
    <row r="18" spans="1:17" s="100" customFormat="1" ht="12" customHeight="1" x14ac:dyDescent="0.4">
      <c r="A18" s="21" t="s">
        <v>24</v>
      </c>
      <c r="B18" s="104">
        <v>4108</v>
      </c>
      <c r="C18" s="105">
        <v>-3.41</v>
      </c>
      <c r="D18" s="22">
        <v>3757</v>
      </c>
      <c r="E18" s="84">
        <v>-9.6</v>
      </c>
      <c r="F18" s="22">
        <v>2248</v>
      </c>
      <c r="G18" s="84">
        <v>-4.42</v>
      </c>
      <c r="H18" s="22">
        <v>3578</v>
      </c>
      <c r="I18" s="84">
        <v>-9.19</v>
      </c>
      <c r="J18" s="104">
        <v>1560</v>
      </c>
      <c r="K18" s="105">
        <v>-20.04</v>
      </c>
      <c r="L18" s="22">
        <v>1891</v>
      </c>
      <c r="M18" s="84">
        <v>-8.0299999999999994</v>
      </c>
      <c r="N18" s="22">
        <v>1570</v>
      </c>
      <c r="O18" s="84">
        <v>-16.93</v>
      </c>
      <c r="P18" s="22">
        <v>2821</v>
      </c>
      <c r="Q18" s="84">
        <v>-10.220000000000001</v>
      </c>
    </row>
    <row r="19" spans="1:17" s="100" customFormat="1" ht="12" customHeight="1" x14ac:dyDescent="0.4">
      <c r="A19" s="24" t="s">
        <v>25</v>
      </c>
      <c r="B19" s="25">
        <v>1118</v>
      </c>
      <c r="C19" s="87">
        <v>-8.66</v>
      </c>
      <c r="D19" s="25">
        <v>1969</v>
      </c>
      <c r="E19" s="87">
        <v>-15.67</v>
      </c>
      <c r="F19" s="25">
        <v>1223</v>
      </c>
      <c r="G19" s="87">
        <v>-24.23</v>
      </c>
      <c r="H19" s="26">
        <v>1297</v>
      </c>
      <c r="I19" s="86">
        <v>-11.71</v>
      </c>
      <c r="J19" s="25">
        <v>857</v>
      </c>
      <c r="K19" s="87">
        <v>-32.47</v>
      </c>
      <c r="L19" s="25">
        <v>1146</v>
      </c>
      <c r="M19" s="87">
        <v>-33.950000000000003</v>
      </c>
      <c r="N19" s="25">
        <v>1107</v>
      </c>
      <c r="O19" s="87">
        <v>-5.55</v>
      </c>
      <c r="P19" s="26">
        <v>1300</v>
      </c>
      <c r="Q19" s="86">
        <v>-39.049999999999997</v>
      </c>
    </row>
    <row r="20" spans="1:17" s="100" customFormat="1" ht="12" customHeight="1" x14ac:dyDescent="0.4">
      <c r="A20" s="21" t="s">
        <v>26</v>
      </c>
      <c r="B20" s="22">
        <v>2407</v>
      </c>
      <c r="C20" s="84">
        <v>-5.12</v>
      </c>
      <c r="D20" s="22">
        <v>3340</v>
      </c>
      <c r="E20" s="84">
        <v>-1.07</v>
      </c>
      <c r="F20" s="22">
        <v>3139</v>
      </c>
      <c r="G20" s="84">
        <v>-3.56</v>
      </c>
      <c r="H20" s="22">
        <v>3130</v>
      </c>
      <c r="I20" s="84">
        <v>3.92</v>
      </c>
      <c r="J20" s="22">
        <v>2327</v>
      </c>
      <c r="K20" s="84">
        <v>16.989999999999998</v>
      </c>
      <c r="L20" s="22">
        <v>2533</v>
      </c>
      <c r="M20" s="84">
        <v>-6.53</v>
      </c>
      <c r="N20" s="22">
        <v>2476</v>
      </c>
      <c r="O20" s="84">
        <v>21.55</v>
      </c>
      <c r="P20" s="22">
        <v>2811</v>
      </c>
      <c r="Q20" s="84">
        <v>-0.64</v>
      </c>
    </row>
    <row r="21" spans="1:17" s="100" customFormat="1" ht="12" customHeight="1" x14ac:dyDescent="0.4">
      <c r="A21" s="24" t="s">
        <v>27</v>
      </c>
      <c r="B21" s="25">
        <v>2252</v>
      </c>
      <c r="C21" s="87">
        <v>17.23</v>
      </c>
      <c r="D21" s="25">
        <v>1839</v>
      </c>
      <c r="E21" s="87">
        <v>5.63</v>
      </c>
      <c r="F21" s="25">
        <v>1504</v>
      </c>
      <c r="G21" s="87">
        <v>-7.96</v>
      </c>
      <c r="H21" s="26">
        <v>1992</v>
      </c>
      <c r="I21" s="86">
        <v>-2.92</v>
      </c>
      <c r="J21" s="25">
        <v>2071</v>
      </c>
      <c r="K21" s="87">
        <v>-0.57999999999999996</v>
      </c>
      <c r="L21" s="25">
        <v>1961</v>
      </c>
      <c r="M21" s="87">
        <v>-6.8</v>
      </c>
      <c r="N21" s="25">
        <v>576</v>
      </c>
      <c r="O21" s="87">
        <v>-31.51</v>
      </c>
      <c r="P21" s="26">
        <v>2144</v>
      </c>
      <c r="Q21" s="86">
        <v>5.93</v>
      </c>
    </row>
    <row r="22" spans="1:17" s="100" customFormat="1" ht="12" customHeight="1" x14ac:dyDescent="0.4">
      <c r="A22" s="21" t="s">
        <v>28</v>
      </c>
      <c r="B22" s="22">
        <v>3614</v>
      </c>
      <c r="C22" s="84">
        <v>22.34</v>
      </c>
      <c r="D22" s="22">
        <v>3623</v>
      </c>
      <c r="E22" s="84">
        <v>6.75</v>
      </c>
      <c r="F22" s="22">
        <v>3703</v>
      </c>
      <c r="G22" s="84">
        <v>-1.41</v>
      </c>
      <c r="H22" s="27" t="s">
        <v>60</v>
      </c>
      <c r="I22" s="137" t="s">
        <v>61</v>
      </c>
      <c r="J22" s="22">
        <v>3467</v>
      </c>
      <c r="K22" s="84">
        <v>17.25</v>
      </c>
      <c r="L22" s="22">
        <v>3746</v>
      </c>
      <c r="M22" s="84">
        <v>7.37</v>
      </c>
      <c r="N22" s="22">
        <v>3732</v>
      </c>
      <c r="O22" s="84">
        <v>17.28</v>
      </c>
      <c r="P22" s="23">
        <v>3907</v>
      </c>
      <c r="Q22" s="85">
        <v>16.350000000000001</v>
      </c>
    </row>
    <row r="23" spans="1:17" s="100" customFormat="1" ht="12" customHeight="1" x14ac:dyDescent="0.4">
      <c r="A23" s="30" t="s">
        <v>29</v>
      </c>
      <c r="B23" s="95">
        <v>2642</v>
      </c>
      <c r="C23" s="108">
        <v>-6.01</v>
      </c>
      <c r="D23" s="31">
        <v>3093</v>
      </c>
      <c r="E23" s="88">
        <v>-13.31</v>
      </c>
      <c r="F23" s="31">
        <v>2536</v>
      </c>
      <c r="G23" s="88">
        <v>23.77</v>
      </c>
      <c r="H23" s="31">
        <v>2796</v>
      </c>
      <c r="I23" s="88">
        <v>-9.5399999999999991</v>
      </c>
      <c r="J23" s="31">
        <v>3196</v>
      </c>
      <c r="K23" s="88">
        <v>-11.12</v>
      </c>
      <c r="L23" s="31">
        <v>3111</v>
      </c>
      <c r="M23" s="88">
        <v>11.95</v>
      </c>
      <c r="N23" s="31">
        <v>1212</v>
      </c>
      <c r="O23" s="88">
        <v>-42.04</v>
      </c>
      <c r="P23" s="31">
        <v>2549</v>
      </c>
      <c r="Q23" s="88">
        <v>-20.74</v>
      </c>
    </row>
    <row r="24" spans="1:17" s="129" customFormat="1" ht="11.5" x14ac:dyDescent="0.3">
      <c r="A24" s="117" t="s">
        <v>30</v>
      </c>
      <c r="B24" s="118"/>
      <c r="C24" s="119"/>
      <c r="D24" s="118"/>
      <c r="E24" s="119"/>
      <c r="F24" s="118"/>
      <c r="G24" s="119"/>
      <c r="H24" s="118"/>
      <c r="I24" s="119"/>
      <c r="J24" s="118"/>
      <c r="K24" s="119"/>
      <c r="L24" s="118"/>
      <c r="M24" s="119"/>
      <c r="N24" s="118"/>
      <c r="O24" s="119"/>
      <c r="P24" s="118"/>
      <c r="Q24" s="119"/>
    </row>
    <row r="25" spans="1:17" s="100" customFormat="1" ht="12" customHeight="1" x14ac:dyDescent="0.4">
      <c r="A25" s="24" t="s">
        <v>48</v>
      </c>
      <c r="B25" s="29" t="s">
        <v>60</v>
      </c>
      <c r="C25" s="132" t="s">
        <v>61</v>
      </c>
      <c r="D25" s="25">
        <v>13502</v>
      </c>
      <c r="E25" s="87">
        <v>13.29</v>
      </c>
      <c r="F25" s="25">
        <v>13000</v>
      </c>
      <c r="G25" s="37">
        <v>3.48</v>
      </c>
      <c r="H25" s="29" t="s">
        <v>60</v>
      </c>
      <c r="I25" s="112" t="s">
        <v>61</v>
      </c>
      <c r="J25" s="28">
        <v>11801</v>
      </c>
      <c r="K25" s="86">
        <v>6.45</v>
      </c>
      <c r="L25" s="29" t="s">
        <v>60</v>
      </c>
      <c r="M25" s="132" t="s">
        <v>61</v>
      </c>
      <c r="N25" s="25">
        <v>12581</v>
      </c>
      <c r="O25" s="87">
        <v>17.13</v>
      </c>
      <c r="P25" s="26">
        <v>12500</v>
      </c>
      <c r="Q25" s="86">
        <v>9.2799999999999994</v>
      </c>
    </row>
    <row r="26" spans="1:17" s="100" customFormat="1" ht="12" customHeight="1" x14ac:dyDescent="0.4">
      <c r="A26" s="21" t="s">
        <v>31</v>
      </c>
      <c r="B26" s="22">
        <v>1115</v>
      </c>
      <c r="C26" s="84">
        <v>-5.51</v>
      </c>
      <c r="D26" s="22">
        <v>2624</v>
      </c>
      <c r="E26" s="84">
        <v>3.19</v>
      </c>
      <c r="F26" s="22">
        <v>2845</v>
      </c>
      <c r="G26" s="84">
        <v>13.12</v>
      </c>
      <c r="H26" s="27" t="s">
        <v>60</v>
      </c>
      <c r="I26" s="137" t="s">
        <v>61</v>
      </c>
      <c r="J26" s="22">
        <v>2153</v>
      </c>
      <c r="K26" s="84">
        <v>10.24</v>
      </c>
      <c r="L26" s="22">
        <v>3101</v>
      </c>
      <c r="M26" s="84">
        <v>18.899999999999999</v>
      </c>
      <c r="N26" s="22">
        <v>1895</v>
      </c>
      <c r="O26" s="84">
        <v>6.34</v>
      </c>
      <c r="P26" s="23">
        <v>1856</v>
      </c>
      <c r="Q26" s="85">
        <v>3.46</v>
      </c>
    </row>
    <row r="27" spans="1:17" s="100" customFormat="1" ht="12" customHeight="1" x14ac:dyDescent="0.4">
      <c r="A27" s="24" t="s">
        <v>32</v>
      </c>
      <c r="B27" s="25">
        <v>5700</v>
      </c>
      <c r="C27" s="87">
        <v>4</v>
      </c>
      <c r="D27" s="25">
        <v>5832</v>
      </c>
      <c r="E27" s="87">
        <v>1.8</v>
      </c>
      <c r="F27" s="29" t="s">
        <v>60</v>
      </c>
      <c r="G27" s="132" t="s">
        <v>61</v>
      </c>
      <c r="H27" s="25">
        <v>5015</v>
      </c>
      <c r="I27" s="87">
        <v>3.21</v>
      </c>
      <c r="J27" s="25">
        <v>4014</v>
      </c>
      <c r="K27" s="87">
        <v>-1.57</v>
      </c>
      <c r="L27" s="29" t="s">
        <v>60</v>
      </c>
      <c r="M27" s="132" t="s">
        <v>61</v>
      </c>
      <c r="N27" s="26">
        <v>7504</v>
      </c>
      <c r="O27" s="87">
        <v>18.14</v>
      </c>
      <c r="P27" s="25">
        <v>4586</v>
      </c>
      <c r="Q27" s="87">
        <v>0.7</v>
      </c>
    </row>
    <row r="28" spans="1:17" s="100" customFormat="1" ht="12" customHeight="1" x14ac:dyDescent="0.4">
      <c r="A28" s="21" t="s">
        <v>33</v>
      </c>
      <c r="B28" s="27" t="s">
        <v>60</v>
      </c>
      <c r="C28" s="137" t="s">
        <v>61</v>
      </c>
      <c r="D28" s="22">
        <v>6838</v>
      </c>
      <c r="E28" s="84">
        <v>-13.2</v>
      </c>
      <c r="F28" s="22">
        <v>7894</v>
      </c>
      <c r="G28" s="84">
        <v>-6.49</v>
      </c>
      <c r="H28" s="27" t="s">
        <v>60</v>
      </c>
      <c r="I28" s="137" t="s">
        <v>61</v>
      </c>
      <c r="J28" s="23">
        <v>5929</v>
      </c>
      <c r="K28" s="83">
        <v>-24.31</v>
      </c>
      <c r="L28" s="23">
        <v>9025</v>
      </c>
      <c r="M28" s="85">
        <v>1.99</v>
      </c>
      <c r="N28" s="22">
        <v>6632</v>
      </c>
      <c r="O28" s="84">
        <v>-1.6</v>
      </c>
      <c r="P28" s="23">
        <v>7667</v>
      </c>
      <c r="Q28" s="85">
        <v>-7.86</v>
      </c>
    </row>
    <row r="29" spans="1:17" s="100" customFormat="1" ht="12" customHeight="1" x14ac:dyDescent="0.4">
      <c r="A29" s="24" t="s">
        <v>34</v>
      </c>
      <c r="B29" s="25">
        <v>4311</v>
      </c>
      <c r="C29" s="87">
        <v>7.99</v>
      </c>
      <c r="D29" s="25">
        <v>3898</v>
      </c>
      <c r="E29" s="87">
        <v>51.61</v>
      </c>
      <c r="F29" s="25">
        <v>3344</v>
      </c>
      <c r="G29" s="87">
        <v>30.52</v>
      </c>
      <c r="H29" s="25">
        <v>3789</v>
      </c>
      <c r="I29" s="87">
        <v>4.09</v>
      </c>
      <c r="J29" s="25">
        <v>2433</v>
      </c>
      <c r="K29" s="87">
        <v>4.29</v>
      </c>
      <c r="L29" s="25">
        <v>3583</v>
      </c>
      <c r="M29" s="87">
        <v>2.4</v>
      </c>
      <c r="N29" s="25">
        <v>2890</v>
      </c>
      <c r="O29" s="87">
        <v>-10.14</v>
      </c>
      <c r="P29" s="25">
        <v>2537</v>
      </c>
      <c r="Q29" s="87">
        <v>-5.76</v>
      </c>
    </row>
    <row r="30" spans="1:17" s="100" customFormat="1" ht="12" customHeight="1" x14ac:dyDescent="0.4">
      <c r="A30" s="21" t="s">
        <v>55</v>
      </c>
      <c r="B30" s="22">
        <v>3199</v>
      </c>
      <c r="C30" s="84">
        <v>24.67</v>
      </c>
      <c r="D30" s="22">
        <v>2815</v>
      </c>
      <c r="E30" s="84">
        <v>15.51</v>
      </c>
      <c r="F30" s="22">
        <v>2775</v>
      </c>
      <c r="G30" s="84">
        <v>43.19</v>
      </c>
      <c r="H30" s="23">
        <v>3462</v>
      </c>
      <c r="I30" s="85">
        <v>21.52</v>
      </c>
      <c r="J30" s="22">
        <v>2212</v>
      </c>
      <c r="K30" s="85">
        <v>22.82</v>
      </c>
      <c r="L30" s="22">
        <v>3415</v>
      </c>
      <c r="M30" s="84">
        <v>57.88</v>
      </c>
      <c r="N30" s="22">
        <v>2738</v>
      </c>
      <c r="O30" s="84">
        <v>13.89</v>
      </c>
      <c r="P30" s="23">
        <v>2174</v>
      </c>
      <c r="Q30" s="85">
        <v>2.89</v>
      </c>
    </row>
    <row r="31" spans="1:17" s="100" customFormat="1" ht="12" customHeight="1" x14ac:dyDescent="0.4">
      <c r="A31" s="24" t="s">
        <v>35</v>
      </c>
      <c r="B31" s="26">
        <v>6322</v>
      </c>
      <c r="C31" s="86">
        <v>12.55</v>
      </c>
      <c r="D31" s="25">
        <v>5447</v>
      </c>
      <c r="E31" s="87">
        <v>21.15</v>
      </c>
      <c r="F31" s="25">
        <v>5511</v>
      </c>
      <c r="G31" s="87">
        <v>24.43</v>
      </c>
      <c r="H31" s="26">
        <v>6173</v>
      </c>
      <c r="I31" s="86">
        <v>9.6300000000000008</v>
      </c>
      <c r="J31" s="26">
        <v>4750</v>
      </c>
      <c r="K31" s="86">
        <v>18.100000000000001</v>
      </c>
      <c r="L31" s="25">
        <v>6315</v>
      </c>
      <c r="M31" s="87">
        <v>7</v>
      </c>
      <c r="N31" s="25">
        <v>5188</v>
      </c>
      <c r="O31" s="87">
        <v>27.81</v>
      </c>
      <c r="P31" s="26">
        <v>4994</v>
      </c>
      <c r="Q31" s="86">
        <v>13.76</v>
      </c>
    </row>
    <row r="32" spans="1:17" s="100" customFormat="1" ht="12" customHeight="1" x14ac:dyDescent="0.4">
      <c r="A32" s="21" t="s">
        <v>36</v>
      </c>
      <c r="B32" s="22">
        <v>7046</v>
      </c>
      <c r="C32" s="84">
        <v>-4.21</v>
      </c>
      <c r="D32" s="22">
        <v>9356</v>
      </c>
      <c r="E32" s="84">
        <v>0.66</v>
      </c>
      <c r="F32" s="22">
        <v>5326</v>
      </c>
      <c r="G32" s="137" t="s">
        <v>61</v>
      </c>
      <c r="H32" s="27" t="s">
        <v>60</v>
      </c>
      <c r="I32" s="133" t="s">
        <v>61</v>
      </c>
      <c r="J32" s="22">
        <v>5343</v>
      </c>
      <c r="K32" s="84">
        <v>2.2400000000000002</v>
      </c>
      <c r="L32" s="22">
        <v>5633</v>
      </c>
      <c r="M32" s="84">
        <v>8.33</v>
      </c>
      <c r="N32" s="22">
        <v>8647</v>
      </c>
      <c r="O32" s="84">
        <v>-2.72</v>
      </c>
      <c r="P32" s="23">
        <v>5375</v>
      </c>
      <c r="Q32" s="137" t="s">
        <v>61</v>
      </c>
    </row>
    <row r="33" spans="1:17" s="100" customFormat="1" ht="12" customHeight="1" x14ac:dyDescent="0.4">
      <c r="A33" s="24" t="s">
        <v>37</v>
      </c>
      <c r="B33" s="25">
        <v>4018</v>
      </c>
      <c r="C33" s="87">
        <v>-10.31</v>
      </c>
      <c r="D33" s="25">
        <v>5631</v>
      </c>
      <c r="E33" s="101">
        <v>4.2</v>
      </c>
      <c r="F33" s="25">
        <v>3722</v>
      </c>
      <c r="G33" s="86">
        <v>-33.200000000000003</v>
      </c>
      <c r="H33" s="29" t="s">
        <v>60</v>
      </c>
      <c r="I33" s="134" t="s">
        <v>61</v>
      </c>
      <c r="J33" s="25">
        <v>4613</v>
      </c>
      <c r="K33" s="87">
        <v>-13.61</v>
      </c>
      <c r="L33" s="25">
        <v>5585</v>
      </c>
      <c r="M33" s="87">
        <v>4.8600000000000003</v>
      </c>
      <c r="N33" s="25">
        <v>4486</v>
      </c>
      <c r="O33" s="86">
        <v>-3.46</v>
      </c>
      <c r="P33" s="26">
        <v>4642</v>
      </c>
      <c r="Q33" s="87">
        <v>-8.01</v>
      </c>
    </row>
    <row r="34" spans="1:17" s="100" customFormat="1" ht="12" customHeight="1" x14ac:dyDescent="0.4">
      <c r="A34" s="21" t="s">
        <v>51</v>
      </c>
      <c r="B34" s="79" t="s">
        <v>60</v>
      </c>
      <c r="C34" s="137" t="s">
        <v>61</v>
      </c>
      <c r="D34" s="22">
        <v>8903</v>
      </c>
      <c r="E34" s="84">
        <v>-4.88</v>
      </c>
      <c r="F34" s="22">
        <v>8466</v>
      </c>
      <c r="G34" s="84">
        <v>-6.79</v>
      </c>
      <c r="H34" s="23">
        <v>9455</v>
      </c>
      <c r="I34" s="83">
        <v>-7.71</v>
      </c>
      <c r="J34" s="23">
        <v>8285</v>
      </c>
      <c r="K34" s="85">
        <v>-5.61</v>
      </c>
      <c r="L34" s="22">
        <v>9189</v>
      </c>
      <c r="M34" s="84">
        <v>-3.26</v>
      </c>
      <c r="N34" s="22">
        <v>8208</v>
      </c>
      <c r="O34" s="84">
        <v>-7.66</v>
      </c>
      <c r="P34" s="23">
        <v>8289</v>
      </c>
      <c r="Q34" s="85">
        <v>-9.49</v>
      </c>
    </row>
    <row r="35" spans="1:17" s="100" customFormat="1" ht="12" customHeight="1" x14ac:dyDescent="0.4">
      <c r="A35" s="24" t="s">
        <v>38</v>
      </c>
      <c r="B35" s="26">
        <v>5567</v>
      </c>
      <c r="C35" s="37">
        <v>-4.0199999999999996</v>
      </c>
      <c r="D35" s="25">
        <v>4908</v>
      </c>
      <c r="E35" s="87">
        <v>-14.87</v>
      </c>
      <c r="F35" s="25">
        <v>4153</v>
      </c>
      <c r="G35" s="87">
        <v>-25.25</v>
      </c>
      <c r="H35" s="29" t="s">
        <v>60</v>
      </c>
      <c r="I35" s="132" t="s">
        <v>61</v>
      </c>
      <c r="J35" s="25">
        <v>5437</v>
      </c>
      <c r="K35" s="87">
        <v>2.41</v>
      </c>
      <c r="L35" s="25">
        <v>6901</v>
      </c>
      <c r="M35" s="87">
        <v>53.63</v>
      </c>
      <c r="N35" s="25">
        <v>4538</v>
      </c>
      <c r="O35" s="87">
        <v>-11.76</v>
      </c>
      <c r="P35" s="26">
        <v>6209</v>
      </c>
      <c r="Q35" s="87">
        <v>8.64</v>
      </c>
    </row>
    <row r="36" spans="1:17" s="100" customFormat="1" ht="12" customHeight="1" x14ac:dyDescent="0.4">
      <c r="A36" s="21" t="s">
        <v>39</v>
      </c>
      <c r="B36" s="22">
        <v>8329</v>
      </c>
      <c r="C36" s="84">
        <v>12.07</v>
      </c>
      <c r="D36" s="22">
        <v>7823</v>
      </c>
      <c r="E36" s="84">
        <v>38.409999999999997</v>
      </c>
      <c r="F36" s="22">
        <v>7093</v>
      </c>
      <c r="G36" s="84">
        <v>22.15</v>
      </c>
      <c r="H36" s="23">
        <v>7463</v>
      </c>
      <c r="I36" s="85">
        <v>14.1</v>
      </c>
      <c r="J36" s="22">
        <v>6330</v>
      </c>
      <c r="K36" s="84">
        <v>18.96</v>
      </c>
      <c r="L36" s="22">
        <v>6106</v>
      </c>
      <c r="M36" s="84">
        <v>-4.9400000000000004</v>
      </c>
      <c r="N36" s="22">
        <v>6811</v>
      </c>
      <c r="O36" s="84">
        <v>59.96</v>
      </c>
      <c r="P36" s="23">
        <v>6556</v>
      </c>
      <c r="Q36" s="85">
        <v>19.2</v>
      </c>
    </row>
    <row r="37" spans="1:17" s="100" customFormat="1" ht="12" customHeight="1" x14ac:dyDescent="0.4">
      <c r="A37" s="24" t="s">
        <v>57</v>
      </c>
      <c r="B37" s="25">
        <v>2000</v>
      </c>
      <c r="C37" s="132" t="s">
        <v>61</v>
      </c>
      <c r="D37" s="25">
        <v>2380</v>
      </c>
      <c r="E37" s="87">
        <v>-2.14</v>
      </c>
      <c r="F37" s="25">
        <v>1583</v>
      </c>
      <c r="G37" s="86">
        <v>-19.97</v>
      </c>
      <c r="H37" s="26">
        <v>1732</v>
      </c>
      <c r="I37" s="86">
        <v>-3.72</v>
      </c>
      <c r="J37" s="26">
        <v>1464</v>
      </c>
      <c r="K37" s="135">
        <v>-13.58</v>
      </c>
      <c r="L37" s="26">
        <v>2613</v>
      </c>
      <c r="M37" s="135">
        <v>34.07</v>
      </c>
      <c r="N37" s="25">
        <v>2962</v>
      </c>
      <c r="O37" s="86">
        <v>11.4</v>
      </c>
      <c r="P37" s="25">
        <v>1929</v>
      </c>
      <c r="Q37" s="89">
        <v>2.0099999999999998</v>
      </c>
    </row>
    <row r="38" spans="1:17" s="100" customFormat="1" ht="12" customHeight="1" x14ac:dyDescent="0.4">
      <c r="A38" s="21" t="s">
        <v>56</v>
      </c>
      <c r="B38" s="27" t="s">
        <v>60</v>
      </c>
      <c r="C38" s="137" t="s">
        <v>61</v>
      </c>
      <c r="D38" s="23">
        <v>1351</v>
      </c>
      <c r="E38" s="85">
        <v>-11.99</v>
      </c>
      <c r="F38" s="22">
        <v>1513</v>
      </c>
      <c r="G38" s="84">
        <v>-3.63</v>
      </c>
      <c r="H38" s="23">
        <v>1709</v>
      </c>
      <c r="I38" s="85">
        <v>3.83</v>
      </c>
      <c r="J38" s="23">
        <v>1522</v>
      </c>
      <c r="K38" s="84">
        <v>-4.28</v>
      </c>
      <c r="L38" s="23">
        <v>1972</v>
      </c>
      <c r="M38" s="85">
        <v>6.19</v>
      </c>
      <c r="N38" s="22">
        <v>2129</v>
      </c>
      <c r="O38" s="84">
        <v>-8.35</v>
      </c>
      <c r="P38" s="23">
        <v>1652</v>
      </c>
      <c r="Q38" s="85">
        <v>-8.43</v>
      </c>
    </row>
    <row r="39" spans="1:17" s="100" customFormat="1" ht="12" customHeight="1" x14ac:dyDescent="0.4">
      <c r="A39" s="24" t="s">
        <v>40</v>
      </c>
      <c r="B39" s="26">
        <v>3657</v>
      </c>
      <c r="C39" s="37">
        <v>-13.69</v>
      </c>
      <c r="D39" s="26">
        <v>3181</v>
      </c>
      <c r="E39" s="86">
        <v>-22.36</v>
      </c>
      <c r="F39" s="25">
        <v>2950</v>
      </c>
      <c r="G39" s="87">
        <v>-28.86</v>
      </c>
      <c r="H39" s="26">
        <v>3967</v>
      </c>
      <c r="I39" s="86">
        <v>-8.4499999999999993</v>
      </c>
      <c r="J39" s="26">
        <v>3145</v>
      </c>
      <c r="K39" s="87">
        <v>-21.71</v>
      </c>
      <c r="L39" s="26">
        <v>2652</v>
      </c>
      <c r="M39" s="86">
        <v>-2.3199999999999998</v>
      </c>
      <c r="N39" s="25">
        <v>3239</v>
      </c>
      <c r="O39" s="87">
        <v>-30.46</v>
      </c>
      <c r="P39" s="26">
        <v>4037</v>
      </c>
      <c r="Q39" s="86">
        <v>-19.73</v>
      </c>
    </row>
    <row r="40" spans="1:17" s="100" customFormat="1" ht="12" customHeight="1" x14ac:dyDescent="0.4">
      <c r="A40" s="21" t="s">
        <v>41</v>
      </c>
      <c r="B40" s="22">
        <v>3921</v>
      </c>
      <c r="C40" s="84">
        <v>53.16</v>
      </c>
      <c r="D40" s="22">
        <v>3340</v>
      </c>
      <c r="E40" s="84">
        <v>23.8</v>
      </c>
      <c r="F40" s="22">
        <v>3993</v>
      </c>
      <c r="G40" s="84">
        <v>49.16</v>
      </c>
      <c r="H40" s="23">
        <v>3997</v>
      </c>
      <c r="I40" s="105">
        <v>42.6</v>
      </c>
      <c r="J40" s="22">
        <v>3607</v>
      </c>
      <c r="K40" s="84">
        <v>37.99</v>
      </c>
      <c r="L40" s="22">
        <v>3867</v>
      </c>
      <c r="M40" s="84">
        <v>6.27</v>
      </c>
      <c r="N40" s="22">
        <v>3462</v>
      </c>
      <c r="O40" s="84">
        <v>53.12</v>
      </c>
      <c r="P40" s="23">
        <v>3422</v>
      </c>
      <c r="Q40" s="105">
        <v>28.21</v>
      </c>
    </row>
    <row r="41" spans="1:17" s="100" customFormat="1" ht="12" customHeight="1" x14ac:dyDescent="0.4">
      <c r="A41" s="30" t="s">
        <v>62</v>
      </c>
      <c r="B41" s="158" t="s">
        <v>60</v>
      </c>
      <c r="C41" s="159" t="s">
        <v>61</v>
      </c>
      <c r="D41" s="31">
        <v>7740</v>
      </c>
      <c r="E41" s="88">
        <v>10.48</v>
      </c>
      <c r="F41" s="31">
        <v>7943</v>
      </c>
      <c r="G41" s="88">
        <v>1.76</v>
      </c>
      <c r="H41" s="95">
        <v>9333</v>
      </c>
      <c r="I41" s="108">
        <v>8.67</v>
      </c>
      <c r="J41" s="31">
        <v>7694</v>
      </c>
      <c r="K41" s="88">
        <v>11.04</v>
      </c>
      <c r="L41" s="158" t="s">
        <v>60</v>
      </c>
      <c r="M41" s="159" t="s">
        <v>61</v>
      </c>
      <c r="N41" s="31">
        <v>7088</v>
      </c>
      <c r="O41" s="88">
        <v>5.01</v>
      </c>
      <c r="P41" s="95">
        <v>7469</v>
      </c>
      <c r="Q41" s="108">
        <v>10.23</v>
      </c>
    </row>
    <row r="42" spans="1:17" s="100" customFormat="1" ht="12" customHeight="1" x14ac:dyDescent="0.4">
      <c r="A42" s="117" t="s">
        <v>42</v>
      </c>
      <c r="B42" s="118"/>
      <c r="C42" s="119"/>
      <c r="D42" s="118"/>
      <c r="E42" s="119"/>
      <c r="F42" s="118"/>
      <c r="G42" s="119"/>
      <c r="H42" s="118"/>
      <c r="I42" s="119"/>
      <c r="J42" s="118"/>
      <c r="K42" s="119"/>
      <c r="L42" s="118"/>
      <c r="M42" s="119"/>
      <c r="N42" s="118"/>
      <c r="O42" s="119"/>
      <c r="P42" s="118"/>
      <c r="Q42" s="119"/>
    </row>
    <row r="43" spans="1:17" s="100" customFormat="1" ht="12" customHeight="1" x14ac:dyDescent="0.4">
      <c r="A43" s="24" t="s">
        <v>43</v>
      </c>
      <c r="B43" s="29" t="s">
        <v>60</v>
      </c>
      <c r="C43" s="132" t="s">
        <v>61</v>
      </c>
      <c r="D43" s="25">
        <v>2442</v>
      </c>
      <c r="E43" s="87">
        <v>8.5299999999999994</v>
      </c>
      <c r="F43" s="25">
        <v>3790</v>
      </c>
      <c r="G43" s="87">
        <v>17.88</v>
      </c>
      <c r="H43" s="29" t="s">
        <v>60</v>
      </c>
      <c r="I43" s="132" t="s">
        <v>61</v>
      </c>
      <c r="J43" s="25">
        <v>2542</v>
      </c>
      <c r="K43" s="87">
        <v>13.53</v>
      </c>
      <c r="L43" s="25">
        <v>4391</v>
      </c>
      <c r="M43" s="87">
        <v>17.25</v>
      </c>
      <c r="N43" s="25">
        <v>1728</v>
      </c>
      <c r="O43" s="87">
        <v>-0.4</v>
      </c>
      <c r="P43" s="26">
        <v>2898</v>
      </c>
      <c r="Q43" s="87">
        <v>-4.3600000000000003</v>
      </c>
    </row>
    <row r="44" spans="1:17" s="100" customFormat="1" ht="12" customHeight="1" x14ac:dyDescent="0.4">
      <c r="A44" s="21" t="s">
        <v>44</v>
      </c>
      <c r="B44" s="22">
        <v>2179</v>
      </c>
      <c r="C44" s="84">
        <v>14.62</v>
      </c>
      <c r="D44" s="22">
        <v>2362</v>
      </c>
      <c r="E44" s="84">
        <v>25.77</v>
      </c>
      <c r="F44" s="22">
        <v>2210</v>
      </c>
      <c r="G44" s="84">
        <v>19.78</v>
      </c>
      <c r="H44" s="23">
        <v>2141</v>
      </c>
      <c r="I44" s="85">
        <v>9.6300000000000008</v>
      </c>
      <c r="J44" s="22">
        <v>1763</v>
      </c>
      <c r="K44" s="84">
        <v>14.63</v>
      </c>
      <c r="L44" s="23">
        <v>2099</v>
      </c>
      <c r="M44" s="83">
        <v>15.33</v>
      </c>
      <c r="N44" s="22">
        <v>2560</v>
      </c>
      <c r="O44" s="84">
        <v>11.89</v>
      </c>
      <c r="P44" s="23">
        <v>1982</v>
      </c>
      <c r="Q44" s="85">
        <v>7.08</v>
      </c>
    </row>
    <row r="45" spans="1:17" s="100" customFormat="1" ht="12" customHeight="1" x14ac:dyDescent="0.4">
      <c r="A45" s="24" t="s">
        <v>63</v>
      </c>
      <c r="B45" s="25">
        <v>4129</v>
      </c>
      <c r="C45" s="86">
        <v>6.34</v>
      </c>
      <c r="D45" s="25">
        <v>4502</v>
      </c>
      <c r="E45" s="87">
        <v>7.34</v>
      </c>
      <c r="F45" s="25">
        <v>3721</v>
      </c>
      <c r="G45" s="87">
        <v>10.06</v>
      </c>
      <c r="H45" s="25">
        <v>4811</v>
      </c>
      <c r="I45" s="87">
        <v>16.91</v>
      </c>
      <c r="J45" s="25">
        <v>3100</v>
      </c>
      <c r="K45" s="87">
        <v>30.53</v>
      </c>
      <c r="L45" s="25">
        <v>3089</v>
      </c>
      <c r="M45" s="87">
        <v>16.3</v>
      </c>
      <c r="N45" s="25">
        <v>4598</v>
      </c>
      <c r="O45" s="87">
        <v>13.45</v>
      </c>
      <c r="P45" s="25">
        <v>3843</v>
      </c>
      <c r="Q45" s="87">
        <v>13.63</v>
      </c>
    </row>
    <row r="46" spans="1:17" s="100" customFormat="1" ht="12" customHeight="1" x14ac:dyDescent="0.4">
      <c r="A46" s="21" t="s">
        <v>45</v>
      </c>
      <c r="B46" s="22">
        <v>1925</v>
      </c>
      <c r="C46" s="84">
        <v>8.4499999999999993</v>
      </c>
      <c r="D46" s="22">
        <v>3057</v>
      </c>
      <c r="E46" s="84">
        <v>33.03</v>
      </c>
      <c r="F46" s="22">
        <v>2595</v>
      </c>
      <c r="G46" s="84">
        <v>7.99</v>
      </c>
      <c r="H46" s="23">
        <v>1616</v>
      </c>
      <c r="I46" s="85">
        <v>-0.74</v>
      </c>
      <c r="J46" s="22">
        <v>2361</v>
      </c>
      <c r="K46" s="84">
        <v>18.760000000000002</v>
      </c>
      <c r="L46" s="22">
        <v>3056</v>
      </c>
      <c r="M46" s="84">
        <v>16.37</v>
      </c>
      <c r="N46" s="22">
        <v>2426</v>
      </c>
      <c r="O46" s="84">
        <v>13.74</v>
      </c>
      <c r="P46" s="23">
        <v>2185</v>
      </c>
      <c r="Q46" s="85">
        <v>16.29</v>
      </c>
    </row>
    <row r="47" spans="1:17" s="100" customFormat="1" ht="12" customHeight="1" x14ac:dyDescent="0.4">
      <c r="A47" s="30" t="s">
        <v>46</v>
      </c>
      <c r="B47" s="31">
        <v>976</v>
      </c>
      <c r="C47" s="88">
        <v>-0.91</v>
      </c>
      <c r="D47" s="31">
        <v>1688</v>
      </c>
      <c r="E47" s="88">
        <v>-4.47</v>
      </c>
      <c r="F47" s="31">
        <v>1460</v>
      </c>
      <c r="G47" s="88">
        <v>27.51</v>
      </c>
      <c r="H47" s="31">
        <v>949</v>
      </c>
      <c r="I47" s="88">
        <v>7.47</v>
      </c>
      <c r="J47" s="31">
        <v>820</v>
      </c>
      <c r="K47" s="88">
        <v>-12.77</v>
      </c>
      <c r="L47" s="31">
        <v>1543</v>
      </c>
      <c r="M47" s="88">
        <v>1.51</v>
      </c>
      <c r="N47" s="95">
        <v>956</v>
      </c>
      <c r="O47" s="136">
        <v>1.06</v>
      </c>
      <c r="P47" s="31">
        <v>787</v>
      </c>
      <c r="Q47" s="88">
        <v>-2.2400000000000002</v>
      </c>
    </row>
    <row r="48" spans="1:17" s="100" customFormat="1" ht="12" customHeight="1" x14ac:dyDescent="0.4">
      <c r="A48" s="117" t="s">
        <v>64</v>
      </c>
      <c r="B48" s="118"/>
      <c r="C48" s="119"/>
      <c r="D48" s="118"/>
      <c r="E48" s="119"/>
      <c r="F48" s="118"/>
      <c r="G48" s="119"/>
      <c r="H48" s="118"/>
      <c r="I48" s="119"/>
      <c r="J48" s="118"/>
      <c r="K48" s="119"/>
      <c r="L48" s="118"/>
      <c r="M48" s="119"/>
      <c r="N48" s="118"/>
      <c r="O48" s="119"/>
      <c r="P48" s="118"/>
      <c r="Q48" s="119"/>
    </row>
    <row r="49" spans="1:25" s="100" customFormat="1" ht="12" customHeight="1" x14ac:dyDescent="0.4">
      <c r="A49" s="15" t="s">
        <v>65</v>
      </c>
      <c r="B49" s="32">
        <v>4007</v>
      </c>
      <c r="C49" s="91">
        <v>2.56</v>
      </c>
      <c r="D49" s="32">
        <v>3745</v>
      </c>
      <c r="E49" s="91">
        <v>0.54</v>
      </c>
      <c r="F49" s="32">
        <v>4320</v>
      </c>
      <c r="G49" s="91">
        <v>-0.23</v>
      </c>
      <c r="H49" s="32">
        <v>4103</v>
      </c>
      <c r="I49" s="91">
        <v>0.12</v>
      </c>
      <c r="J49" s="32">
        <v>3970</v>
      </c>
      <c r="K49" s="91">
        <v>1.02</v>
      </c>
      <c r="L49" s="32">
        <v>4011</v>
      </c>
      <c r="M49" s="91">
        <v>0.33</v>
      </c>
      <c r="N49" s="32">
        <v>3943</v>
      </c>
      <c r="O49" s="91">
        <v>-2.35</v>
      </c>
      <c r="P49" s="32">
        <v>4157</v>
      </c>
      <c r="Q49" s="91">
        <v>-1.0900000000000001</v>
      </c>
    </row>
    <row r="50" spans="1:25" s="100" customFormat="1" ht="12" customHeight="1" x14ac:dyDescent="0.4">
      <c r="A50" s="33" t="s">
        <v>66</v>
      </c>
      <c r="B50" s="96" t="s">
        <v>60</v>
      </c>
      <c r="C50" s="80" t="s">
        <v>61</v>
      </c>
      <c r="D50" s="34">
        <v>3983</v>
      </c>
      <c r="E50" s="90">
        <v>-1.56</v>
      </c>
      <c r="F50" s="34">
        <v>4284</v>
      </c>
      <c r="G50" s="90">
        <v>-7.05</v>
      </c>
      <c r="H50" s="34">
        <v>4331</v>
      </c>
      <c r="I50" s="90">
        <v>3.84</v>
      </c>
      <c r="J50" s="34">
        <v>4421</v>
      </c>
      <c r="K50" s="90">
        <v>3.78</v>
      </c>
      <c r="L50" s="34">
        <v>3620</v>
      </c>
      <c r="M50" s="90">
        <v>-8.2200000000000006</v>
      </c>
      <c r="N50" s="34">
        <v>4075</v>
      </c>
      <c r="O50" s="90">
        <v>3.87</v>
      </c>
      <c r="P50" s="34">
        <v>4540</v>
      </c>
      <c r="Q50" s="90">
        <v>-4.22</v>
      </c>
    </row>
    <row r="51" spans="1:25" s="100" customFormat="1" ht="12" customHeight="1" x14ac:dyDescent="0.4">
      <c r="A51" s="15" t="s">
        <v>67</v>
      </c>
      <c r="B51" s="32">
        <v>7458</v>
      </c>
      <c r="C51" s="91">
        <v>-0.89</v>
      </c>
      <c r="D51" s="32">
        <v>8788</v>
      </c>
      <c r="E51" s="91">
        <v>0.65</v>
      </c>
      <c r="F51" s="32">
        <v>8057</v>
      </c>
      <c r="G51" s="91">
        <v>3.14</v>
      </c>
      <c r="H51" s="32">
        <v>8188</v>
      </c>
      <c r="I51" s="91">
        <v>-0.47</v>
      </c>
      <c r="J51" s="32">
        <v>7733</v>
      </c>
      <c r="K51" s="91">
        <v>4.97</v>
      </c>
      <c r="L51" s="32">
        <v>7525</v>
      </c>
      <c r="M51" s="91">
        <v>-1.6</v>
      </c>
      <c r="N51" s="32">
        <v>11675</v>
      </c>
      <c r="O51" s="91">
        <v>22.17</v>
      </c>
      <c r="P51" s="32">
        <v>11394</v>
      </c>
      <c r="Q51" s="91">
        <v>-3.32</v>
      </c>
    </row>
    <row r="52" spans="1:25" s="100" customFormat="1" ht="12" customHeight="1" x14ac:dyDescent="0.4">
      <c r="A52" s="33" t="s">
        <v>68</v>
      </c>
      <c r="B52" s="96" t="s">
        <v>60</v>
      </c>
      <c r="C52" s="80" t="s">
        <v>61</v>
      </c>
      <c r="D52" s="34">
        <v>9074</v>
      </c>
      <c r="E52" s="90">
        <v>-0.11</v>
      </c>
      <c r="F52" s="34">
        <v>7191</v>
      </c>
      <c r="G52" s="90">
        <v>-0.47</v>
      </c>
      <c r="H52" s="96" t="s">
        <v>60</v>
      </c>
      <c r="I52" s="80" t="s">
        <v>61</v>
      </c>
      <c r="J52" s="96" t="s">
        <v>60</v>
      </c>
      <c r="K52" s="80" t="s">
        <v>61</v>
      </c>
      <c r="L52" s="34">
        <v>7009</v>
      </c>
      <c r="M52" s="90">
        <v>-3.74</v>
      </c>
      <c r="N52" s="34">
        <v>7779</v>
      </c>
      <c r="O52" s="90">
        <v>9.64</v>
      </c>
      <c r="P52" s="34">
        <v>7319</v>
      </c>
      <c r="Q52" s="90">
        <v>-1.36</v>
      </c>
    </row>
    <row r="53" spans="1:25" s="100" customFormat="1" ht="12" customHeight="1" x14ac:dyDescent="0.4">
      <c r="A53" s="15" t="s">
        <v>69</v>
      </c>
      <c r="B53" s="32">
        <v>6658</v>
      </c>
      <c r="C53" s="91">
        <v>-1.1100000000000001</v>
      </c>
      <c r="D53" s="32">
        <v>6679</v>
      </c>
      <c r="E53" s="91">
        <v>1.29</v>
      </c>
      <c r="F53" s="32">
        <v>7423</v>
      </c>
      <c r="G53" s="91">
        <v>0.35</v>
      </c>
      <c r="H53" s="32">
        <v>7375</v>
      </c>
      <c r="I53" s="91">
        <v>0.14000000000000001</v>
      </c>
      <c r="J53" s="32">
        <v>6800</v>
      </c>
      <c r="K53" s="91">
        <v>7.09</v>
      </c>
      <c r="L53" s="32">
        <v>6945</v>
      </c>
      <c r="M53" s="91">
        <v>1.17</v>
      </c>
      <c r="N53" s="32">
        <v>6969</v>
      </c>
      <c r="O53" s="91">
        <v>5.64</v>
      </c>
      <c r="P53" s="32">
        <v>7035</v>
      </c>
      <c r="Q53" s="91">
        <v>-1.07</v>
      </c>
    </row>
    <row r="54" spans="1:25" s="100" customFormat="1" ht="12" customHeight="1" x14ac:dyDescent="0.4">
      <c r="A54" s="33" t="s">
        <v>70</v>
      </c>
      <c r="B54" s="34">
        <v>2028</v>
      </c>
      <c r="C54" s="90">
        <v>-7.44</v>
      </c>
      <c r="D54" s="34">
        <v>1740</v>
      </c>
      <c r="E54" s="90">
        <v>-6.9</v>
      </c>
      <c r="F54" s="96" t="s">
        <v>60</v>
      </c>
      <c r="G54" s="80" t="s">
        <v>61</v>
      </c>
      <c r="H54" s="34">
        <v>2273</v>
      </c>
      <c r="I54" s="92">
        <v>-2.9</v>
      </c>
      <c r="J54" s="34">
        <v>2100</v>
      </c>
      <c r="K54" s="90">
        <v>-5.62</v>
      </c>
      <c r="L54" s="34">
        <v>2277</v>
      </c>
      <c r="M54" s="90">
        <v>-7.63</v>
      </c>
      <c r="N54" s="34">
        <v>2138</v>
      </c>
      <c r="O54" s="90">
        <v>5.74</v>
      </c>
      <c r="P54" s="34">
        <v>3141</v>
      </c>
      <c r="Q54" s="90">
        <v>-1.44</v>
      </c>
    </row>
    <row r="55" spans="1:25" s="100" customFormat="1" ht="12" customHeight="1" x14ac:dyDescent="0.4">
      <c r="A55" s="15" t="s">
        <v>71</v>
      </c>
      <c r="B55" s="106" t="s">
        <v>60</v>
      </c>
      <c r="C55" s="81" t="s">
        <v>61</v>
      </c>
      <c r="D55" s="32">
        <v>412</v>
      </c>
      <c r="E55" s="93">
        <v>-0.96</v>
      </c>
      <c r="F55" s="110">
        <v>444</v>
      </c>
      <c r="G55" s="107">
        <v>-1.1100000000000001</v>
      </c>
      <c r="H55" s="32">
        <v>435</v>
      </c>
      <c r="I55" s="91">
        <v>1.87</v>
      </c>
      <c r="J55" s="32">
        <v>466</v>
      </c>
      <c r="K55" s="91">
        <v>-0.43</v>
      </c>
      <c r="L55" s="32">
        <v>425</v>
      </c>
      <c r="M55" s="91">
        <v>-6.39</v>
      </c>
      <c r="N55" s="32">
        <v>434</v>
      </c>
      <c r="O55" s="91">
        <v>-10.33</v>
      </c>
      <c r="P55" s="32">
        <v>463</v>
      </c>
      <c r="Q55" s="91">
        <v>4.75</v>
      </c>
    </row>
    <row r="56" spans="1:25" s="102" customFormat="1" ht="12" customHeight="1" x14ac:dyDescent="0.45">
      <c r="A56" s="33" t="s">
        <v>72</v>
      </c>
      <c r="B56" s="114">
        <v>51275</v>
      </c>
      <c r="C56" s="103">
        <v>0.08</v>
      </c>
      <c r="D56" s="96" t="s">
        <v>60</v>
      </c>
      <c r="E56" s="160" t="s">
        <v>61</v>
      </c>
      <c r="F56" s="114">
        <v>55245</v>
      </c>
      <c r="G56" s="103">
        <v>0.49</v>
      </c>
      <c r="H56" s="96" t="s">
        <v>60</v>
      </c>
      <c r="I56" s="160" t="s">
        <v>61</v>
      </c>
      <c r="J56" s="34">
        <v>46528</v>
      </c>
      <c r="K56" s="90">
        <v>1.03</v>
      </c>
      <c r="L56" s="96" t="s">
        <v>60</v>
      </c>
      <c r="M56" s="160" t="s">
        <v>61</v>
      </c>
      <c r="N56" s="34">
        <v>31533</v>
      </c>
      <c r="O56" s="90">
        <v>1.2</v>
      </c>
      <c r="P56" s="34">
        <v>48014</v>
      </c>
      <c r="Q56" s="90">
        <v>0.85</v>
      </c>
      <c r="R56" s="130"/>
      <c r="S56" s="87"/>
      <c r="T56" s="130"/>
      <c r="U56" s="87"/>
      <c r="V56" s="130"/>
      <c r="W56" s="86"/>
      <c r="X56" s="130"/>
      <c r="Y56" s="87"/>
    </row>
    <row r="57" spans="1:25" s="38" customFormat="1" ht="12" customHeight="1" x14ac:dyDescent="0.45">
      <c r="A57" s="15" t="s">
        <v>73</v>
      </c>
      <c r="B57" s="32">
        <v>20333</v>
      </c>
      <c r="C57" s="107">
        <v>-0.41</v>
      </c>
      <c r="D57" s="32">
        <v>19750</v>
      </c>
      <c r="E57" s="91">
        <v>5.68</v>
      </c>
      <c r="F57" s="32">
        <v>22313</v>
      </c>
      <c r="G57" s="91">
        <v>-0.83</v>
      </c>
      <c r="H57" s="32">
        <v>21958</v>
      </c>
      <c r="I57" s="107">
        <v>5.98</v>
      </c>
      <c r="J57" s="32">
        <v>18200</v>
      </c>
      <c r="K57" s="91">
        <v>-0.5</v>
      </c>
      <c r="L57" s="32">
        <v>23988</v>
      </c>
      <c r="M57" s="91">
        <v>-1.42</v>
      </c>
      <c r="N57" s="32">
        <v>24281</v>
      </c>
      <c r="O57" s="91">
        <v>5.66</v>
      </c>
      <c r="P57" s="106" t="s">
        <v>60</v>
      </c>
      <c r="Q57" s="81" t="s">
        <v>61</v>
      </c>
      <c r="S57" s="94"/>
      <c r="U57" s="94"/>
      <c r="W57" s="94"/>
      <c r="Y57" s="94"/>
    </row>
    <row r="58" spans="1:25" s="38" customFormat="1" ht="12" customHeight="1" x14ac:dyDescent="0.45">
      <c r="A58" s="33" t="s">
        <v>74</v>
      </c>
      <c r="B58" s="34">
        <v>19167</v>
      </c>
      <c r="C58" s="90">
        <v>-0.86</v>
      </c>
      <c r="D58" s="34">
        <v>17050</v>
      </c>
      <c r="E58" s="90">
        <v>-0.8</v>
      </c>
      <c r="F58" s="96" t="s">
        <v>60</v>
      </c>
      <c r="G58" s="80" t="s">
        <v>61</v>
      </c>
      <c r="H58" s="34">
        <v>19556</v>
      </c>
      <c r="I58" s="121">
        <v>0.28999999999999998</v>
      </c>
      <c r="J58" s="34">
        <v>21785</v>
      </c>
      <c r="K58" s="90">
        <v>-0.44</v>
      </c>
      <c r="L58" s="96" t="s">
        <v>60</v>
      </c>
      <c r="M58" s="80" t="s">
        <v>61</v>
      </c>
      <c r="N58" s="34">
        <v>19000</v>
      </c>
      <c r="O58" s="90">
        <v>0.9</v>
      </c>
      <c r="P58" s="34">
        <v>18900</v>
      </c>
      <c r="Q58" s="90">
        <v>-3.08</v>
      </c>
      <c r="S58" s="94"/>
      <c r="U58" s="94"/>
      <c r="W58" s="94"/>
      <c r="Y58" s="94"/>
    </row>
    <row r="59" spans="1:25" s="38" customFormat="1" ht="12" customHeight="1" x14ac:dyDescent="0.45">
      <c r="A59" s="15" t="s">
        <v>88</v>
      </c>
      <c r="B59" s="32">
        <v>39417</v>
      </c>
      <c r="C59" s="91">
        <v>0</v>
      </c>
      <c r="D59" s="32">
        <v>41767</v>
      </c>
      <c r="E59" s="91">
        <v>-1.04</v>
      </c>
      <c r="F59" s="32">
        <v>80900</v>
      </c>
      <c r="G59" s="91">
        <v>0</v>
      </c>
      <c r="H59" s="32">
        <v>44542</v>
      </c>
      <c r="I59" s="91">
        <v>1.58</v>
      </c>
      <c r="J59" s="81" t="s">
        <v>60</v>
      </c>
      <c r="K59" s="113" t="s">
        <v>61</v>
      </c>
      <c r="L59" s="32">
        <v>36333</v>
      </c>
      <c r="M59" s="91">
        <v>0.69</v>
      </c>
      <c r="N59" s="32">
        <v>57019</v>
      </c>
      <c r="O59" s="91">
        <v>-3.4</v>
      </c>
      <c r="P59" s="32">
        <v>35700</v>
      </c>
      <c r="Q59" s="91">
        <v>-0.83</v>
      </c>
      <c r="S59" s="94"/>
      <c r="U59" s="94"/>
      <c r="W59" s="94"/>
      <c r="Y59" s="94"/>
    </row>
    <row r="60" spans="1:25" s="38" customFormat="1" ht="12" customHeight="1" x14ac:dyDescent="0.45">
      <c r="A60" s="33" t="s">
        <v>75</v>
      </c>
      <c r="B60" s="34">
        <v>11025</v>
      </c>
      <c r="C60" s="90">
        <v>-0.97</v>
      </c>
      <c r="D60" s="34">
        <v>15908</v>
      </c>
      <c r="E60" s="90">
        <v>-2.61</v>
      </c>
      <c r="F60" s="34">
        <v>16833</v>
      </c>
      <c r="G60" s="90">
        <v>0</v>
      </c>
      <c r="H60" s="34">
        <v>12181</v>
      </c>
      <c r="I60" s="90">
        <v>5.41</v>
      </c>
      <c r="J60" s="34">
        <v>13980</v>
      </c>
      <c r="K60" s="90">
        <v>0.94</v>
      </c>
      <c r="L60" s="34">
        <v>12871</v>
      </c>
      <c r="M60" s="90">
        <v>-1.05</v>
      </c>
      <c r="N60" s="34">
        <v>13813</v>
      </c>
      <c r="O60" s="90">
        <v>-0.09</v>
      </c>
      <c r="P60" s="96" t="s">
        <v>60</v>
      </c>
      <c r="Q60" s="80" t="s">
        <v>61</v>
      </c>
      <c r="S60" s="94"/>
      <c r="U60" s="94"/>
      <c r="W60" s="94"/>
      <c r="Y60" s="94"/>
    </row>
    <row r="61" spans="1:25" s="38" customFormat="1" ht="12" customHeight="1" x14ac:dyDescent="0.45">
      <c r="A61" s="15" t="s">
        <v>76</v>
      </c>
      <c r="B61" s="32">
        <v>8660</v>
      </c>
      <c r="C61" s="91">
        <v>-2.04</v>
      </c>
      <c r="D61" s="110">
        <v>8365</v>
      </c>
      <c r="E61" s="123">
        <v>-1.95</v>
      </c>
      <c r="F61" s="32">
        <v>7737</v>
      </c>
      <c r="G61" s="91">
        <v>-0.44</v>
      </c>
      <c r="H61" s="32">
        <v>8823</v>
      </c>
      <c r="I61" s="93">
        <v>0.24</v>
      </c>
      <c r="J61" s="32">
        <v>11122</v>
      </c>
      <c r="K61" s="91">
        <v>-2.7</v>
      </c>
      <c r="L61" s="106" t="s">
        <v>60</v>
      </c>
      <c r="M61" s="81" t="s">
        <v>61</v>
      </c>
      <c r="N61" s="32">
        <v>7589</v>
      </c>
      <c r="O61" s="91">
        <v>1.19</v>
      </c>
      <c r="P61" s="32">
        <v>8796</v>
      </c>
      <c r="Q61" s="91">
        <v>-0.7</v>
      </c>
      <c r="S61" s="94"/>
      <c r="U61" s="94"/>
      <c r="W61" s="94"/>
      <c r="Y61" s="94"/>
    </row>
    <row r="62" spans="1:25" s="38" customFormat="1" ht="12" customHeight="1" x14ac:dyDescent="0.45">
      <c r="A62" s="33" t="s">
        <v>77</v>
      </c>
      <c r="B62" s="34">
        <v>3980</v>
      </c>
      <c r="C62" s="90">
        <v>-4.6900000000000004</v>
      </c>
      <c r="D62" s="34">
        <v>4013</v>
      </c>
      <c r="E62" s="90">
        <v>0.15</v>
      </c>
      <c r="F62" s="34">
        <v>4063</v>
      </c>
      <c r="G62" s="90">
        <v>-1.1000000000000001</v>
      </c>
      <c r="H62" s="34">
        <v>3784</v>
      </c>
      <c r="I62" s="90">
        <v>1.88</v>
      </c>
      <c r="J62" s="34">
        <v>3843</v>
      </c>
      <c r="K62" s="90">
        <v>0.26</v>
      </c>
      <c r="L62" s="96" t="s">
        <v>60</v>
      </c>
      <c r="M62" s="80" t="s">
        <v>61</v>
      </c>
      <c r="N62" s="34">
        <v>3911</v>
      </c>
      <c r="O62" s="90">
        <v>1.43</v>
      </c>
      <c r="P62" s="96" t="s">
        <v>60</v>
      </c>
      <c r="Q62" s="80" t="s">
        <v>61</v>
      </c>
      <c r="S62" s="94"/>
      <c r="U62" s="94"/>
      <c r="W62" s="94"/>
      <c r="Y62" s="94"/>
    </row>
    <row r="63" spans="1:25" s="38" customFormat="1" ht="12" customHeight="1" x14ac:dyDescent="0.45">
      <c r="A63" s="15" t="s">
        <v>78</v>
      </c>
      <c r="B63" s="32">
        <v>13874</v>
      </c>
      <c r="C63" s="91">
        <v>2.34</v>
      </c>
      <c r="D63" s="32">
        <v>14614</v>
      </c>
      <c r="E63" s="91">
        <v>-0.43</v>
      </c>
      <c r="F63" s="32">
        <v>17050</v>
      </c>
      <c r="G63" s="91">
        <v>-0.32</v>
      </c>
      <c r="H63" s="32">
        <v>13844</v>
      </c>
      <c r="I63" s="91">
        <v>0.14000000000000001</v>
      </c>
      <c r="J63" s="32">
        <v>16094</v>
      </c>
      <c r="K63" s="91">
        <v>-0.43</v>
      </c>
      <c r="L63" s="32">
        <v>15833</v>
      </c>
      <c r="M63" s="107">
        <v>0.41</v>
      </c>
      <c r="N63" s="32">
        <v>14244</v>
      </c>
      <c r="O63" s="91">
        <v>-1.79</v>
      </c>
      <c r="P63" s="32">
        <v>18077</v>
      </c>
      <c r="Q63" s="91">
        <v>0.14000000000000001</v>
      </c>
      <c r="S63" s="94"/>
      <c r="U63" s="94"/>
      <c r="W63" s="94"/>
      <c r="Y63" s="94"/>
    </row>
    <row r="64" spans="1:25" s="38" customFormat="1" ht="12" customHeight="1" x14ac:dyDescent="0.45">
      <c r="A64" s="33" t="s">
        <v>79</v>
      </c>
      <c r="B64" s="34">
        <v>2877</v>
      </c>
      <c r="C64" s="90">
        <v>2.97</v>
      </c>
      <c r="D64" s="34">
        <v>2977</v>
      </c>
      <c r="E64" s="90">
        <v>-2.9</v>
      </c>
      <c r="F64" s="34">
        <v>3785</v>
      </c>
      <c r="G64" s="90">
        <v>-5.16</v>
      </c>
      <c r="H64" s="34">
        <v>2789</v>
      </c>
      <c r="I64" s="90">
        <v>-0.64</v>
      </c>
      <c r="J64" s="34">
        <v>4877</v>
      </c>
      <c r="K64" s="90">
        <v>-1.87</v>
      </c>
      <c r="L64" s="34">
        <v>3267</v>
      </c>
      <c r="M64" s="103">
        <v>-6.12</v>
      </c>
      <c r="N64" s="34">
        <v>3850</v>
      </c>
      <c r="O64" s="90">
        <v>2.15</v>
      </c>
      <c r="P64" s="34">
        <v>4204</v>
      </c>
      <c r="Q64" s="90">
        <v>-3.69</v>
      </c>
      <c r="S64" s="94"/>
      <c r="U64" s="94"/>
      <c r="W64" s="94"/>
      <c r="Y64" s="94"/>
    </row>
    <row r="65" spans="1:25" s="38" customFormat="1" ht="12" customHeight="1" x14ac:dyDescent="0.45">
      <c r="A65" s="15" t="s">
        <v>80</v>
      </c>
      <c r="B65" s="32">
        <v>3056</v>
      </c>
      <c r="C65" s="91">
        <v>-3.54</v>
      </c>
      <c r="D65" s="32">
        <v>3906</v>
      </c>
      <c r="E65" s="107">
        <v>2.2200000000000002</v>
      </c>
      <c r="F65" s="32">
        <v>3259</v>
      </c>
      <c r="G65" s="91">
        <v>-1.1499999999999999</v>
      </c>
      <c r="H65" s="32">
        <v>3958</v>
      </c>
      <c r="I65" s="91">
        <v>0.56000000000000005</v>
      </c>
      <c r="J65" s="32">
        <v>5081</v>
      </c>
      <c r="K65" s="93">
        <v>-2.5099999999999998</v>
      </c>
      <c r="L65" s="32">
        <v>2992</v>
      </c>
      <c r="M65" s="91">
        <v>-0.17</v>
      </c>
      <c r="N65" s="106" t="s">
        <v>60</v>
      </c>
      <c r="O65" s="81" t="s">
        <v>61</v>
      </c>
      <c r="P65" s="32">
        <v>4120</v>
      </c>
      <c r="Q65" s="91">
        <v>-3.94</v>
      </c>
      <c r="S65" s="94"/>
      <c r="U65" s="94"/>
      <c r="W65" s="94"/>
      <c r="Y65" s="94"/>
    </row>
    <row r="66" spans="1:25" s="38" customFormat="1" ht="12" customHeight="1" x14ac:dyDescent="0.45">
      <c r="A66" s="33" t="s">
        <v>81</v>
      </c>
      <c r="B66" s="34">
        <v>36285</v>
      </c>
      <c r="C66" s="90">
        <v>8.3699999999999992</v>
      </c>
      <c r="D66" s="34">
        <v>38102</v>
      </c>
      <c r="E66" s="92">
        <v>0.41</v>
      </c>
      <c r="F66" s="96" t="s">
        <v>60</v>
      </c>
      <c r="G66" s="80" t="s">
        <v>61</v>
      </c>
      <c r="H66" s="34">
        <v>37170</v>
      </c>
      <c r="I66" s="90">
        <v>-0.11</v>
      </c>
      <c r="J66" s="34">
        <v>35278</v>
      </c>
      <c r="K66" s="92">
        <v>0.26</v>
      </c>
      <c r="L66" s="96" t="s">
        <v>60</v>
      </c>
      <c r="M66" s="80" t="s">
        <v>61</v>
      </c>
      <c r="N66" s="34">
        <v>35608</v>
      </c>
      <c r="O66" s="90">
        <v>-2.38</v>
      </c>
      <c r="P66" s="96" t="s">
        <v>60</v>
      </c>
      <c r="Q66" s="80" t="s">
        <v>61</v>
      </c>
      <c r="S66" s="94"/>
      <c r="U66" s="94"/>
      <c r="W66" s="94"/>
      <c r="Y66" s="94"/>
    </row>
    <row r="67" spans="1:25" s="38" customFormat="1" ht="12" customHeight="1" x14ac:dyDescent="0.45">
      <c r="A67" s="15" t="s">
        <v>82</v>
      </c>
      <c r="B67" s="32">
        <v>37459</v>
      </c>
      <c r="C67" s="123">
        <v>-3.74</v>
      </c>
      <c r="D67" s="32">
        <v>28798</v>
      </c>
      <c r="E67" s="91">
        <v>-1.36</v>
      </c>
      <c r="F67" s="32">
        <v>35472</v>
      </c>
      <c r="G67" s="91">
        <v>-0.31</v>
      </c>
      <c r="H67" s="106" t="s">
        <v>60</v>
      </c>
      <c r="I67" s="81" t="s">
        <v>61</v>
      </c>
      <c r="J67" s="32">
        <v>29085</v>
      </c>
      <c r="K67" s="91">
        <v>-1.79</v>
      </c>
      <c r="L67" s="32">
        <v>29677</v>
      </c>
      <c r="M67" s="91">
        <v>-0.91</v>
      </c>
      <c r="N67" s="32">
        <v>32594</v>
      </c>
      <c r="O67" s="91">
        <v>0.61</v>
      </c>
      <c r="P67" s="32">
        <v>34359</v>
      </c>
      <c r="Q67" s="91">
        <v>0</v>
      </c>
      <c r="R67" s="131"/>
      <c r="S67" s="40"/>
      <c r="T67" s="131"/>
      <c r="U67" s="40"/>
      <c r="V67" s="131"/>
      <c r="W67" s="40"/>
      <c r="X67" s="131"/>
      <c r="Y67" s="40"/>
    </row>
    <row r="68" spans="1:25" s="38" customFormat="1" ht="12" customHeight="1" x14ac:dyDescent="0.45">
      <c r="A68" s="33" t="s">
        <v>83</v>
      </c>
      <c r="B68" s="114">
        <v>16544</v>
      </c>
      <c r="C68" s="103">
        <v>0</v>
      </c>
      <c r="D68" s="34">
        <v>14256</v>
      </c>
      <c r="E68" s="90">
        <v>-0.26</v>
      </c>
      <c r="F68" s="34">
        <v>17151</v>
      </c>
      <c r="G68" s="90">
        <v>1.08</v>
      </c>
      <c r="H68" s="96" t="s">
        <v>60</v>
      </c>
      <c r="I68" s="80" t="s">
        <v>61</v>
      </c>
      <c r="J68" s="34">
        <v>25833</v>
      </c>
      <c r="K68" s="90">
        <v>0</v>
      </c>
      <c r="L68" s="96" t="s">
        <v>60</v>
      </c>
      <c r="M68" s="80" t="s">
        <v>61</v>
      </c>
      <c r="N68" s="34">
        <v>14425</v>
      </c>
      <c r="O68" s="90">
        <v>-0.11</v>
      </c>
      <c r="P68" s="34">
        <v>19200</v>
      </c>
      <c r="Q68" s="90">
        <v>-0.33</v>
      </c>
      <c r="R68" s="131"/>
      <c r="S68" s="40"/>
      <c r="T68" s="131"/>
      <c r="U68" s="40"/>
      <c r="V68" s="131"/>
      <c r="W68" s="40"/>
      <c r="X68" s="131"/>
      <c r="Y68" s="40"/>
    </row>
    <row r="69" spans="1:25" s="38" customFormat="1" ht="12" customHeight="1" x14ac:dyDescent="0.45">
      <c r="A69" s="15" t="s">
        <v>84</v>
      </c>
      <c r="B69" s="32">
        <v>4413</v>
      </c>
      <c r="C69" s="91">
        <v>1.36</v>
      </c>
      <c r="D69" s="32">
        <v>3482</v>
      </c>
      <c r="E69" s="91">
        <v>0.4</v>
      </c>
      <c r="F69" s="32">
        <v>3706</v>
      </c>
      <c r="G69" s="91">
        <v>-0.7</v>
      </c>
      <c r="H69" s="106" t="s">
        <v>60</v>
      </c>
      <c r="I69" s="81" t="s">
        <v>61</v>
      </c>
      <c r="J69" s="32">
        <v>5558</v>
      </c>
      <c r="K69" s="91">
        <v>-0.02</v>
      </c>
      <c r="L69" s="110">
        <v>3390</v>
      </c>
      <c r="M69" s="107">
        <v>5.25</v>
      </c>
      <c r="N69" s="32">
        <v>4228</v>
      </c>
      <c r="O69" s="91">
        <v>-0.45</v>
      </c>
      <c r="P69" s="32">
        <v>5116</v>
      </c>
      <c r="Q69" s="91">
        <v>1.31</v>
      </c>
      <c r="R69" s="131"/>
      <c r="S69" s="40"/>
      <c r="T69" s="131"/>
      <c r="U69" s="40"/>
      <c r="V69" s="131"/>
      <c r="W69" s="40"/>
      <c r="X69" s="131"/>
      <c r="Y69" s="40"/>
    </row>
    <row r="70" spans="1:25" s="38" customFormat="1" ht="12" customHeight="1" x14ac:dyDescent="0.45">
      <c r="A70" s="33" t="s">
        <v>85</v>
      </c>
      <c r="B70" s="34">
        <v>6831</v>
      </c>
      <c r="C70" s="90">
        <v>-0.1</v>
      </c>
      <c r="D70" s="34">
        <v>7289</v>
      </c>
      <c r="E70" s="90">
        <v>-1.37</v>
      </c>
      <c r="F70" s="34">
        <v>6946</v>
      </c>
      <c r="G70" s="90">
        <v>-1.34</v>
      </c>
      <c r="H70" s="34">
        <v>6531</v>
      </c>
      <c r="I70" s="90">
        <v>-0.55000000000000004</v>
      </c>
      <c r="J70" s="34">
        <v>7583</v>
      </c>
      <c r="K70" s="90">
        <v>1.81</v>
      </c>
      <c r="L70" s="34">
        <v>3764</v>
      </c>
      <c r="M70" s="90">
        <v>-4.6399999999999997</v>
      </c>
      <c r="N70" s="34">
        <v>7424</v>
      </c>
      <c r="O70" s="90">
        <v>0.15</v>
      </c>
      <c r="P70" s="34">
        <v>6874</v>
      </c>
      <c r="Q70" s="90">
        <v>0.32</v>
      </c>
      <c r="R70" s="131"/>
      <c r="S70" s="40"/>
      <c r="T70" s="131"/>
      <c r="U70" s="40"/>
      <c r="V70" s="131"/>
      <c r="W70" s="40"/>
      <c r="X70" s="131"/>
      <c r="Y70" s="40"/>
    </row>
    <row r="71" spans="1:25" s="38" customFormat="1" ht="12" customHeight="1" x14ac:dyDescent="0.45">
      <c r="A71" s="15" t="s">
        <v>86</v>
      </c>
      <c r="B71" s="32">
        <v>19625</v>
      </c>
      <c r="C71" s="91">
        <v>4.59</v>
      </c>
      <c r="D71" s="32">
        <v>19247</v>
      </c>
      <c r="E71" s="123">
        <v>-0.1</v>
      </c>
      <c r="F71" s="32">
        <v>16465</v>
      </c>
      <c r="G71" s="91">
        <v>4.8499999999999996</v>
      </c>
      <c r="H71" s="32">
        <v>20030</v>
      </c>
      <c r="I71" s="91">
        <v>7.0000000000000007E-2</v>
      </c>
      <c r="J71" s="32">
        <v>20972</v>
      </c>
      <c r="K71" s="91">
        <v>-0.71</v>
      </c>
      <c r="L71" s="106" t="s">
        <v>60</v>
      </c>
      <c r="M71" s="161" t="s">
        <v>61</v>
      </c>
      <c r="N71" s="32">
        <v>22396</v>
      </c>
      <c r="O71" s="91">
        <v>3.36</v>
      </c>
      <c r="P71" s="106" t="s">
        <v>60</v>
      </c>
      <c r="Q71" s="81" t="s">
        <v>61</v>
      </c>
      <c r="S71" s="94"/>
      <c r="U71" s="94"/>
      <c r="W71" s="94"/>
      <c r="Y71" s="94"/>
    </row>
    <row r="72" spans="1:25" s="38" customFormat="1" ht="12" customHeight="1" x14ac:dyDescent="0.45">
      <c r="A72" s="138" t="s">
        <v>87</v>
      </c>
      <c r="B72" s="139">
        <v>13840</v>
      </c>
      <c r="C72" s="140">
        <v>-2.21</v>
      </c>
      <c r="D72" s="141">
        <v>15854</v>
      </c>
      <c r="E72" s="142">
        <v>-1.35</v>
      </c>
      <c r="F72" s="162" t="s">
        <v>60</v>
      </c>
      <c r="G72" s="143" t="s">
        <v>61</v>
      </c>
      <c r="H72" s="139">
        <v>10971</v>
      </c>
      <c r="I72" s="140">
        <v>3.94</v>
      </c>
      <c r="J72" s="139">
        <v>14526</v>
      </c>
      <c r="K72" s="140">
        <v>-2.84</v>
      </c>
      <c r="L72" s="141">
        <v>16801</v>
      </c>
      <c r="M72" s="144">
        <v>-2.0299999999999998</v>
      </c>
      <c r="N72" s="139">
        <v>9566</v>
      </c>
      <c r="O72" s="145">
        <v>-0.11</v>
      </c>
      <c r="P72" s="139">
        <v>18172</v>
      </c>
      <c r="Q72" s="140">
        <v>0.02</v>
      </c>
      <c r="S72" s="94"/>
      <c r="U72" s="94"/>
      <c r="W72" s="94"/>
      <c r="Y72" s="94"/>
    </row>
    <row r="73" spans="1:25" s="38" customFormat="1" x14ac:dyDescent="0.45">
      <c r="A73" s="15"/>
      <c r="B73" s="32"/>
      <c r="C73" s="91"/>
      <c r="D73" s="110"/>
      <c r="E73" s="93"/>
      <c r="F73" s="109"/>
      <c r="G73" s="81"/>
      <c r="H73" s="32"/>
      <c r="I73" s="91"/>
      <c r="J73" s="32"/>
      <c r="K73" s="91"/>
      <c r="L73" s="110"/>
      <c r="M73" s="107"/>
      <c r="N73" s="109"/>
      <c r="O73" s="111"/>
      <c r="P73" s="32"/>
      <c r="Q73" s="91"/>
      <c r="R73" s="35"/>
      <c r="S73" s="36"/>
      <c r="T73" s="35"/>
      <c r="U73" s="36"/>
      <c r="V73" s="35"/>
      <c r="W73" s="36"/>
      <c r="X73" s="35"/>
      <c r="Y73" s="36"/>
    </row>
    <row r="74" spans="1:25" s="38" customFormat="1" x14ac:dyDescent="0.45">
      <c r="A74" s="24" t="s">
        <v>12</v>
      </c>
      <c r="B74" s="39"/>
      <c r="C74" s="40"/>
      <c r="D74" s="39"/>
      <c r="E74" s="40"/>
      <c r="F74" s="39"/>
      <c r="G74" s="40"/>
      <c r="H74" s="39"/>
      <c r="I74" s="40"/>
      <c r="J74" s="39"/>
      <c r="K74" s="40"/>
      <c r="L74" s="39"/>
      <c r="M74" s="40"/>
      <c r="N74" s="39"/>
      <c r="O74" s="40"/>
      <c r="P74" s="39"/>
      <c r="Q74" s="40"/>
      <c r="R74" s="39"/>
      <c r="S74" s="40"/>
      <c r="T74" s="39"/>
      <c r="U74" s="40"/>
      <c r="V74" s="39"/>
      <c r="W74" s="40"/>
      <c r="X74" s="39"/>
      <c r="Y74" s="40"/>
    </row>
    <row r="75" spans="1:25" s="38" customFormat="1" x14ac:dyDescent="0.45">
      <c r="A75" s="41" t="s">
        <v>13</v>
      </c>
      <c r="B75" s="39"/>
      <c r="C75" s="40"/>
      <c r="D75" s="39"/>
      <c r="E75" s="40"/>
      <c r="F75" s="39"/>
      <c r="G75" s="40"/>
      <c r="H75" s="39"/>
      <c r="I75" s="40"/>
      <c r="J75" s="39"/>
      <c r="K75" s="40"/>
      <c r="L75" s="39"/>
      <c r="M75" s="40"/>
      <c r="N75" s="39"/>
      <c r="O75" s="40"/>
      <c r="P75" s="39"/>
      <c r="Q75" s="40"/>
      <c r="R75" s="39"/>
      <c r="S75" s="40"/>
      <c r="T75" s="39"/>
      <c r="U75" s="40"/>
      <c r="V75" s="39"/>
      <c r="W75" s="40"/>
      <c r="X75" s="39"/>
      <c r="Y75" s="40"/>
    </row>
    <row r="76" spans="1:25" s="38" customFormat="1" ht="19.5" customHeight="1" x14ac:dyDescent="0.45">
      <c r="A76" s="150" t="s">
        <v>49</v>
      </c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</row>
    <row r="77" spans="1:25" s="38" customFormat="1" x14ac:dyDescent="0.45">
      <c r="A77" s="24" t="s">
        <v>14</v>
      </c>
      <c r="B77" s="42"/>
      <c r="C77" s="43"/>
      <c r="D77" s="44"/>
      <c r="E77" s="43"/>
      <c r="F77" s="44"/>
      <c r="G77" s="43"/>
      <c r="H77" s="45"/>
      <c r="I77" s="43"/>
      <c r="J77" s="42"/>
      <c r="K77" s="43"/>
      <c r="L77" s="44"/>
      <c r="M77" s="43"/>
      <c r="N77" s="44"/>
      <c r="O77" s="43"/>
      <c r="P77" s="45"/>
      <c r="Q77" s="43"/>
      <c r="R77" s="44"/>
      <c r="S77" s="46"/>
      <c r="T77" s="44"/>
      <c r="U77" s="46"/>
      <c r="V77" s="44"/>
      <c r="W77" s="46"/>
      <c r="X77" s="44"/>
      <c r="Y77" s="46"/>
    </row>
    <row r="78" spans="1:25" s="38" customFormat="1" x14ac:dyDescent="0.45">
      <c r="A78" s="47" t="s">
        <v>15</v>
      </c>
      <c r="B78" s="39"/>
      <c r="C78" s="40"/>
      <c r="D78" s="39"/>
      <c r="E78" s="40"/>
      <c r="F78" s="39"/>
      <c r="G78" s="40"/>
      <c r="H78" s="39"/>
      <c r="I78" s="40"/>
      <c r="J78" s="39"/>
      <c r="K78" s="40"/>
      <c r="L78" s="39"/>
      <c r="M78" s="40"/>
      <c r="N78" s="39"/>
      <c r="O78" s="40"/>
      <c r="P78" s="39"/>
      <c r="Q78" s="40"/>
      <c r="R78" s="39"/>
      <c r="S78" s="40"/>
      <c r="T78" s="39"/>
      <c r="U78" s="40"/>
      <c r="V78" s="39"/>
      <c r="W78" s="40"/>
      <c r="X78" s="39"/>
      <c r="Y78" s="40"/>
    </row>
    <row r="80" spans="1:25" x14ac:dyDescent="0.45">
      <c r="A80" s="8" t="str">
        <f>+Índice!A14</f>
        <v>Fecha de actualización: 9 de mayo de 2024</v>
      </c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</row>
  </sheetData>
  <mergeCells count="11">
    <mergeCell ref="A76:Y76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I55"/>
  <sheetViews>
    <sheetView showGridLines="0" zoomScale="70" zoomScaleNormal="70" workbookViewId="0">
      <selection activeCell="A4" sqref="A4:I5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57" t="s">
        <v>0</v>
      </c>
      <c r="B4" s="157"/>
      <c r="C4" s="157"/>
      <c r="D4" s="157"/>
      <c r="E4" s="157"/>
      <c r="F4" s="157"/>
      <c r="G4" s="157"/>
      <c r="H4" s="157"/>
      <c r="I4" s="157"/>
    </row>
    <row r="5" spans="1:9" s="48" customFormat="1" ht="24" customHeight="1" x14ac:dyDescent="0.4">
      <c r="A5" s="157"/>
      <c r="B5" s="157"/>
      <c r="C5" s="157"/>
      <c r="D5" s="157"/>
      <c r="E5" s="157"/>
      <c r="F5" s="157"/>
      <c r="G5" s="157"/>
      <c r="H5" s="157"/>
      <c r="I5" s="157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tr">
        <f>+"Variación año corrido. "&amp;Índice!A7</f>
        <v>Variación año corrido. Abril de 2024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52" t="s">
        <v>2</v>
      </c>
      <c r="C9" s="52" t="s">
        <v>3</v>
      </c>
      <c r="D9" s="52" t="s">
        <v>4</v>
      </c>
      <c r="E9" s="53" t="s">
        <v>5</v>
      </c>
      <c r="F9" s="52" t="s">
        <v>6</v>
      </c>
      <c r="G9" s="52" t="s">
        <v>7</v>
      </c>
      <c r="H9" s="52" t="s">
        <v>8</v>
      </c>
      <c r="I9" s="52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1" t="s">
        <v>18</v>
      </c>
      <c r="B11" s="60">
        <v>-31.199411331861672</v>
      </c>
      <c r="C11" s="56">
        <v>-29.205921938088832</v>
      </c>
      <c r="D11" s="56">
        <v>-7.0247933884297726</v>
      </c>
      <c r="E11" s="122" t="s">
        <v>61</v>
      </c>
      <c r="F11" s="56">
        <v>-40.025173064820628</v>
      </c>
      <c r="G11" s="56">
        <v>-3.9346246973365639</v>
      </c>
      <c r="H11" s="56">
        <v>-15.545851528384279</v>
      </c>
      <c r="I11" s="56">
        <v>-5.7979334098737016</v>
      </c>
    </row>
    <row r="12" spans="1:9" ht="14" customHeight="1" x14ac:dyDescent="0.45">
      <c r="A12" s="97" t="s">
        <v>19</v>
      </c>
      <c r="B12" s="58">
        <v>2.0104543626864313E-2</v>
      </c>
      <c r="C12" s="58">
        <v>16.938046068308175</v>
      </c>
      <c r="D12" s="58">
        <v>-0.10096930533115556</v>
      </c>
      <c r="E12" s="124" t="s">
        <v>61</v>
      </c>
      <c r="F12" s="58">
        <v>-20.190439176059083</v>
      </c>
      <c r="G12" s="58">
        <v>-5.1373138406886287</v>
      </c>
      <c r="H12" s="58">
        <v>82.311237149946834</v>
      </c>
      <c r="I12" s="120" t="s">
        <v>61</v>
      </c>
    </row>
    <row r="13" spans="1:9" ht="14" customHeight="1" x14ac:dyDescent="0.45">
      <c r="A13" s="1" t="s">
        <v>20</v>
      </c>
      <c r="B13" s="56">
        <v>-25.672043010752699</v>
      </c>
      <c r="C13" s="56">
        <v>-37.974683544303801</v>
      </c>
      <c r="D13" s="56">
        <v>-26.346950858496143</v>
      </c>
      <c r="E13" s="56">
        <v>-30.334075723830733</v>
      </c>
      <c r="F13" s="56">
        <v>-30.902777777777779</v>
      </c>
      <c r="G13" s="56">
        <v>-35.773195876288653</v>
      </c>
      <c r="H13" s="56">
        <v>-34.018499486125386</v>
      </c>
      <c r="I13" s="56">
        <v>-32.551319648093838</v>
      </c>
    </row>
    <row r="14" spans="1:9" ht="14" customHeight="1" x14ac:dyDescent="0.45">
      <c r="A14" s="97" t="s">
        <v>21</v>
      </c>
      <c r="B14" s="59">
        <v>-3.8382170862567011</v>
      </c>
      <c r="C14" s="58">
        <v>-9.3360160965794812</v>
      </c>
      <c r="D14" s="58">
        <v>2.9205607476635587</v>
      </c>
      <c r="E14" s="125">
        <v>-21.136934673366849</v>
      </c>
      <c r="F14" s="63">
        <v>5.653526970954359</v>
      </c>
      <c r="G14" s="58">
        <v>-9.126760563380298</v>
      </c>
      <c r="H14" s="58">
        <v>-6.0262008733624643</v>
      </c>
      <c r="I14" s="58">
        <v>-1.9310344827586201</v>
      </c>
    </row>
    <row r="15" spans="1:9" ht="14" customHeight="1" x14ac:dyDescent="0.45">
      <c r="A15" s="1" t="s">
        <v>22</v>
      </c>
      <c r="B15" s="122" t="s">
        <v>61</v>
      </c>
      <c r="C15" s="56">
        <v>68.081395348837191</v>
      </c>
      <c r="D15" s="56">
        <v>50.314465408804999</v>
      </c>
      <c r="E15" s="56">
        <v>27.23673792557404</v>
      </c>
      <c r="F15" s="56">
        <v>133.26110509209101</v>
      </c>
      <c r="G15" s="56">
        <v>26.949806949806931</v>
      </c>
      <c r="H15" s="56">
        <v>7.5866579463701678</v>
      </c>
      <c r="I15" s="126" t="s">
        <v>61</v>
      </c>
    </row>
    <row r="16" spans="1:9" ht="14" customHeight="1" x14ac:dyDescent="0.45">
      <c r="A16" s="97" t="s">
        <v>23</v>
      </c>
      <c r="B16" s="58">
        <v>-37.209960384833039</v>
      </c>
      <c r="C16" s="58">
        <v>36.45130183220828</v>
      </c>
      <c r="D16" s="58">
        <v>-33.305887196377114</v>
      </c>
      <c r="E16" s="58">
        <v>-22.867624579639269</v>
      </c>
      <c r="F16" s="58">
        <v>59.17944467467882</v>
      </c>
      <c r="G16" s="58">
        <v>-55.478539056251655</v>
      </c>
      <c r="H16" s="58">
        <v>3.2941176470588251</v>
      </c>
      <c r="I16" s="58">
        <v>31.231973629995878</v>
      </c>
    </row>
    <row r="17" spans="1:9" ht="14" customHeight="1" x14ac:dyDescent="0.45">
      <c r="A17" s="1" t="s">
        <v>24</v>
      </c>
      <c r="B17" s="56">
        <v>36.933333333333309</v>
      </c>
      <c r="C17" s="56">
        <v>50.400320256204978</v>
      </c>
      <c r="D17" s="56">
        <v>-11.42631993695824</v>
      </c>
      <c r="E17" s="56">
        <v>24.973803702410045</v>
      </c>
      <c r="F17" s="56">
        <v>36.842105263157897</v>
      </c>
      <c r="G17" s="56">
        <v>-16.030195381882763</v>
      </c>
      <c r="H17" s="56">
        <v>21.799844840961981</v>
      </c>
      <c r="I17" s="56">
        <v>29.999999999999982</v>
      </c>
    </row>
    <row r="18" spans="1:9" ht="14" customHeight="1" x14ac:dyDescent="0.45">
      <c r="A18" s="97" t="s">
        <v>25</v>
      </c>
      <c r="B18" s="58">
        <v>15.495867768595062</v>
      </c>
      <c r="C18" s="58">
        <v>16.99346405228761</v>
      </c>
      <c r="D18" s="58">
        <v>18.050193050193041</v>
      </c>
      <c r="E18" s="58">
        <v>4.7657512116316747</v>
      </c>
      <c r="F18" s="58">
        <v>-19.831618334892397</v>
      </c>
      <c r="G18" s="58">
        <v>5.5248618784530468</v>
      </c>
      <c r="H18" s="58">
        <v>-5.4654141759180153</v>
      </c>
      <c r="I18" s="58">
        <v>2.6045777426992878</v>
      </c>
    </row>
    <row r="19" spans="1:9" ht="14" customHeight="1" x14ac:dyDescent="0.45">
      <c r="A19" s="1" t="s">
        <v>26</v>
      </c>
      <c r="B19" s="56">
        <v>-28.170695314831406</v>
      </c>
      <c r="C19" s="56">
        <v>-17.976424361493116</v>
      </c>
      <c r="D19" s="56">
        <v>-37.320287539936089</v>
      </c>
      <c r="E19" s="56">
        <v>-29.409111411817769</v>
      </c>
      <c r="F19" s="56">
        <v>-20.06183442116113</v>
      </c>
      <c r="G19" s="56">
        <v>-48.253319713993861</v>
      </c>
      <c r="H19" s="56">
        <v>-21.04591836734695</v>
      </c>
      <c r="I19" s="56">
        <v>-14.818181818181831</v>
      </c>
    </row>
    <row r="20" spans="1:9" ht="14" customHeight="1" x14ac:dyDescent="0.45">
      <c r="A20" s="97" t="s">
        <v>27</v>
      </c>
      <c r="B20" s="58">
        <v>42.082018927444786</v>
      </c>
      <c r="C20" s="58">
        <v>56.777493606138087</v>
      </c>
      <c r="D20" s="58">
        <v>27.674023769100174</v>
      </c>
      <c r="E20" s="58">
        <v>18.149466192170816</v>
      </c>
      <c r="F20" s="58">
        <v>28.553693358162647</v>
      </c>
      <c r="G20" s="58">
        <v>20.676923076923082</v>
      </c>
      <c r="H20" s="58">
        <v>-44.880382775119628</v>
      </c>
      <c r="I20" s="127">
        <v>31.453096259963196</v>
      </c>
    </row>
    <row r="21" spans="1:9" ht="14" customHeight="1" x14ac:dyDescent="0.45">
      <c r="A21" s="1" t="s">
        <v>28</v>
      </c>
      <c r="B21" s="56">
        <v>-0.6323893318669338</v>
      </c>
      <c r="C21" s="56">
        <v>2.8384899233607985</v>
      </c>
      <c r="D21" s="56">
        <v>14.714993804213105</v>
      </c>
      <c r="E21" s="60">
        <v>2.6691830682124662</v>
      </c>
      <c r="F21" s="60">
        <v>-7.5713143161823542</v>
      </c>
      <c r="G21" s="60">
        <v>3.8248337028824908</v>
      </c>
      <c r="H21" s="56">
        <v>-10.072289156626512</v>
      </c>
      <c r="I21" s="56">
        <v>2.7076761303890695</v>
      </c>
    </row>
    <row r="22" spans="1:9" ht="14" customHeight="1" x14ac:dyDescent="0.45">
      <c r="A22" s="98" t="s">
        <v>29</v>
      </c>
      <c r="B22" s="65">
        <v>40.233545647558365</v>
      </c>
      <c r="C22" s="62">
        <v>61.514360313315962</v>
      </c>
      <c r="D22" s="62">
        <v>78.591549295774627</v>
      </c>
      <c r="E22" s="62">
        <v>41.212121212121232</v>
      </c>
      <c r="F22" s="62">
        <v>54.545454545454561</v>
      </c>
      <c r="G22" s="62">
        <v>92.990074441687383</v>
      </c>
      <c r="H22" s="62">
        <v>-7.3394495412844041</v>
      </c>
      <c r="I22" s="82">
        <v>31.256436663233767</v>
      </c>
    </row>
    <row r="23" spans="1:9" ht="14" customHeight="1" x14ac:dyDescent="0.45">
      <c r="A23" s="55" t="s">
        <v>30</v>
      </c>
      <c r="B23" s="163"/>
      <c r="C23" s="163"/>
      <c r="D23" s="163"/>
      <c r="E23" s="163"/>
      <c r="F23" s="163"/>
      <c r="G23" s="163"/>
      <c r="H23" s="163"/>
      <c r="I23" s="163"/>
    </row>
    <row r="24" spans="1:9" ht="14" customHeight="1" x14ac:dyDescent="0.45">
      <c r="A24" s="1" t="s">
        <v>48</v>
      </c>
      <c r="B24" s="122" t="s">
        <v>61</v>
      </c>
      <c r="C24" s="56">
        <v>29.926866820631261</v>
      </c>
      <c r="D24" s="60">
        <v>53.283810871359535</v>
      </c>
      <c r="E24" s="122" t="s">
        <v>61</v>
      </c>
      <c r="F24" s="60">
        <v>23.713177481916347</v>
      </c>
      <c r="G24" s="126" t="s">
        <v>61</v>
      </c>
      <c r="H24" s="56">
        <v>47.232299590403713</v>
      </c>
      <c r="I24" s="122" t="s">
        <v>61</v>
      </c>
    </row>
    <row r="25" spans="1:9" ht="14" customHeight="1" x14ac:dyDescent="0.45">
      <c r="A25" s="97" t="s">
        <v>31</v>
      </c>
      <c r="B25" s="58">
        <v>-12.204724409448831</v>
      </c>
      <c r="C25" s="58">
        <v>16.725978647686834</v>
      </c>
      <c r="D25" s="58">
        <v>39.940973930152502</v>
      </c>
      <c r="E25" s="124" t="s">
        <v>61</v>
      </c>
      <c r="F25" s="58">
        <v>37.046467218332268</v>
      </c>
      <c r="G25" s="58">
        <v>49.086538461538453</v>
      </c>
      <c r="H25" s="58">
        <v>4.4652701212789303</v>
      </c>
      <c r="I25" s="58">
        <v>27.64786795048142</v>
      </c>
    </row>
    <row r="26" spans="1:9" ht="14" customHeight="1" x14ac:dyDescent="0.45">
      <c r="A26" s="1" t="s">
        <v>32</v>
      </c>
      <c r="B26" s="60">
        <v>11.764705882352967</v>
      </c>
      <c r="C26" s="56">
        <v>-12.181900316217453</v>
      </c>
      <c r="D26" s="122" t="s">
        <v>61</v>
      </c>
      <c r="E26" s="56">
        <v>2.0553520553520777</v>
      </c>
      <c r="F26" s="56">
        <v>-6.6728667751685844</v>
      </c>
      <c r="G26" s="122" t="s">
        <v>61</v>
      </c>
      <c r="H26" s="56">
        <v>-11.174242424242442</v>
      </c>
      <c r="I26" s="60">
        <v>-22.703522669812916</v>
      </c>
    </row>
    <row r="27" spans="1:9" ht="14" customHeight="1" x14ac:dyDescent="0.45">
      <c r="A27" s="97" t="s">
        <v>33</v>
      </c>
      <c r="B27" s="124" t="s">
        <v>61</v>
      </c>
      <c r="C27" s="58">
        <v>2.5341130604288553</v>
      </c>
      <c r="D27" s="58">
        <v>3.3381332635161742</v>
      </c>
      <c r="E27" s="120" t="s">
        <v>61</v>
      </c>
      <c r="F27" s="63">
        <v>-8.9527027027026982</v>
      </c>
      <c r="G27" s="63">
        <v>37.681159420289845</v>
      </c>
      <c r="H27" s="58">
        <v>2.8695517294865747</v>
      </c>
      <c r="I27" s="58">
        <v>1.5496688741721831</v>
      </c>
    </row>
    <row r="28" spans="1:9" ht="14" customHeight="1" x14ac:dyDescent="0.45">
      <c r="A28" s="1" t="s">
        <v>34</v>
      </c>
      <c r="B28" s="56">
        <v>8.5074251195569985</v>
      </c>
      <c r="C28" s="56">
        <v>107.23019670388089</v>
      </c>
      <c r="D28" s="56">
        <v>44.386873920552674</v>
      </c>
      <c r="E28" s="56">
        <v>10.402097902097896</v>
      </c>
      <c r="F28" s="60">
        <v>0.20593080724875534</v>
      </c>
      <c r="G28" s="56">
        <v>37.384969325153364</v>
      </c>
      <c r="H28" s="56">
        <v>27.706584180291639</v>
      </c>
      <c r="I28" s="56">
        <v>11.712901805372077</v>
      </c>
    </row>
    <row r="29" spans="1:9" ht="14" customHeight="1" x14ac:dyDescent="0.45">
      <c r="A29" s="97" t="s">
        <v>55</v>
      </c>
      <c r="B29" s="63">
        <v>56.430317848410816</v>
      </c>
      <c r="C29" s="63">
        <v>45.402892561983464</v>
      </c>
      <c r="D29" s="58">
        <v>68.898356664637888</v>
      </c>
      <c r="E29" s="58">
        <v>50.000000000000043</v>
      </c>
      <c r="F29" s="63">
        <v>66.691785983421255</v>
      </c>
      <c r="G29" s="63">
        <v>59.654043945769054</v>
      </c>
      <c r="H29" s="58">
        <v>56.546598056032018</v>
      </c>
      <c r="I29" s="58">
        <v>32.077764277035236</v>
      </c>
    </row>
    <row r="30" spans="1:9" ht="14" customHeight="1" x14ac:dyDescent="0.45">
      <c r="A30" s="1" t="s">
        <v>35</v>
      </c>
      <c r="B30" s="56">
        <v>37.345209645883124</v>
      </c>
      <c r="C30" s="56">
        <v>51.179572578406862</v>
      </c>
      <c r="D30" s="56">
        <v>62.758417011222669</v>
      </c>
      <c r="E30" s="56">
        <v>34.811094125354877</v>
      </c>
      <c r="F30" s="56">
        <v>38.24214202561118</v>
      </c>
      <c r="G30" s="56">
        <v>27.267230955259979</v>
      </c>
      <c r="H30" s="56">
        <v>73.802345058626486</v>
      </c>
      <c r="I30" s="56">
        <v>50.557732891166673</v>
      </c>
    </row>
    <row r="31" spans="1:9" ht="14" customHeight="1" x14ac:dyDescent="0.45">
      <c r="A31" s="97" t="s">
        <v>36</v>
      </c>
      <c r="B31" s="58">
        <v>205.55073720728544</v>
      </c>
      <c r="C31" s="58">
        <v>302.23559759243346</v>
      </c>
      <c r="D31" s="58" t="s">
        <v>61</v>
      </c>
      <c r="E31" s="120" t="s">
        <v>61</v>
      </c>
      <c r="F31" s="63">
        <v>95.71428571428568</v>
      </c>
      <c r="G31" s="58">
        <v>185.50430816016217</v>
      </c>
      <c r="H31" s="58">
        <v>156.81615681615688</v>
      </c>
      <c r="I31" s="58" t="s">
        <v>61</v>
      </c>
    </row>
    <row r="32" spans="1:9" ht="14" customHeight="1" x14ac:dyDescent="0.45">
      <c r="A32" s="1" t="s">
        <v>37</v>
      </c>
      <c r="B32" s="64">
        <v>18.037602820211518</v>
      </c>
      <c r="C32" s="64">
        <v>164.49037106622825</v>
      </c>
      <c r="D32" s="56">
        <v>53.421269579554846</v>
      </c>
      <c r="E32" s="126" t="s">
        <v>61</v>
      </c>
      <c r="F32" s="56">
        <v>96.130952380952394</v>
      </c>
      <c r="G32" s="122" t="s">
        <v>61</v>
      </c>
      <c r="H32" s="56">
        <v>138.99840170484819</v>
      </c>
      <c r="I32" s="64">
        <v>103.06211723534555</v>
      </c>
    </row>
    <row r="33" spans="1:9" ht="14" customHeight="1" x14ac:dyDescent="0.45">
      <c r="A33" s="97" t="s">
        <v>51</v>
      </c>
      <c r="B33" s="120" t="s">
        <v>61</v>
      </c>
      <c r="C33" s="58">
        <v>-11.280518186347809</v>
      </c>
      <c r="D33" s="58">
        <v>-9.2896174863388197</v>
      </c>
      <c r="E33" s="58">
        <v>-8.0431822602606609</v>
      </c>
      <c r="F33" s="58">
        <v>-16.641513230707304</v>
      </c>
      <c r="G33" s="58">
        <v>-19.415943172849246</v>
      </c>
      <c r="H33" s="58">
        <v>-13.90811831340465</v>
      </c>
      <c r="I33" s="58">
        <v>-19.021101992965995</v>
      </c>
    </row>
    <row r="34" spans="1:9" ht="14" customHeight="1" x14ac:dyDescent="0.45">
      <c r="A34" s="1" t="s">
        <v>38</v>
      </c>
      <c r="B34" s="60">
        <v>118.31372549019608</v>
      </c>
      <c r="C34" s="56">
        <v>77.955039883973882</v>
      </c>
      <c r="D34" s="56">
        <v>62.03667577058134</v>
      </c>
      <c r="E34" s="122" t="s">
        <v>61</v>
      </c>
      <c r="F34" s="56">
        <v>80.092745942365013</v>
      </c>
      <c r="G34" s="56">
        <v>60.15316778834994</v>
      </c>
      <c r="H34" s="56">
        <v>184.87131198995604</v>
      </c>
      <c r="I34" s="56">
        <v>94.822717288986496</v>
      </c>
    </row>
    <row r="35" spans="1:9" ht="14" customHeight="1" x14ac:dyDescent="0.45">
      <c r="A35" s="97" t="s">
        <v>39</v>
      </c>
      <c r="B35" s="58">
        <v>41.649659863945622</v>
      </c>
      <c r="C35" s="58">
        <v>30.797525497408461</v>
      </c>
      <c r="D35" s="58">
        <v>68.200142281242577</v>
      </c>
      <c r="E35" s="58">
        <v>48.369781312127238</v>
      </c>
      <c r="F35" s="58">
        <v>19.433962264150971</v>
      </c>
      <c r="G35" s="58">
        <v>56.483854433623783</v>
      </c>
      <c r="H35" s="58">
        <v>72.56143906764629</v>
      </c>
      <c r="I35" s="58">
        <v>28.021870728373365</v>
      </c>
    </row>
    <row r="36" spans="1:9" ht="14" customHeight="1" x14ac:dyDescent="0.45">
      <c r="A36" s="1" t="s">
        <v>57</v>
      </c>
      <c r="B36" s="122" t="s">
        <v>61</v>
      </c>
      <c r="C36" s="56">
        <v>53.647514525500299</v>
      </c>
      <c r="D36" s="56">
        <v>79.275198187995485</v>
      </c>
      <c r="E36" s="60">
        <v>37.460317460317441</v>
      </c>
      <c r="F36" s="128">
        <v>24.38402718776549</v>
      </c>
      <c r="G36" s="60">
        <v>161.82364729458919</v>
      </c>
      <c r="H36" s="56">
        <v>80.389768574908686</v>
      </c>
      <c r="I36" s="56">
        <v>34.800838574423466</v>
      </c>
    </row>
    <row r="37" spans="1:9" ht="14" customHeight="1" x14ac:dyDescent="0.45">
      <c r="A37" s="97" t="s">
        <v>56</v>
      </c>
      <c r="B37" s="124" t="s">
        <v>61</v>
      </c>
      <c r="C37" s="63">
        <v>22.373188405797094</v>
      </c>
      <c r="D37" s="58">
        <v>21.526104417670666</v>
      </c>
      <c r="E37" s="63">
        <v>26.592592592592613</v>
      </c>
      <c r="F37" s="58">
        <v>9.3390804597701216</v>
      </c>
      <c r="G37" s="58">
        <v>7.173913043478275</v>
      </c>
      <c r="H37" s="58">
        <v>-14.429260450160763</v>
      </c>
      <c r="I37" s="58">
        <v>15.443745632424877</v>
      </c>
    </row>
    <row r="38" spans="1:9" ht="14" customHeight="1" x14ac:dyDescent="0.45">
      <c r="A38" s="1" t="s">
        <v>40</v>
      </c>
      <c r="B38" s="56">
        <v>-9.3230845524423618</v>
      </c>
      <c r="C38" s="56">
        <v>-28.806451612903228</v>
      </c>
      <c r="D38" s="56">
        <v>-26.064178127046489</v>
      </c>
      <c r="E38" s="60">
        <v>6.3824081523196741</v>
      </c>
      <c r="F38" s="60">
        <v>-6.6488572276639957</v>
      </c>
      <c r="G38" s="56">
        <v>-15.595162316995538</v>
      </c>
      <c r="H38" s="60">
        <v>-19.427860696517396</v>
      </c>
      <c r="I38" s="60">
        <v>-11.682345219864365</v>
      </c>
    </row>
    <row r="39" spans="1:9" ht="14" customHeight="1" x14ac:dyDescent="0.45">
      <c r="A39" s="98" t="s">
        <v>41</v>
      </c>
      <c r="B39" s="62">
        <v>113.79498364231191</v>
      </c>
      <c r="C39" s="62">
        <v>115.20618556701029</v>
      </c>
      <c r="D39" s="62">
        <v>183.7953091684434</v>
      </c>
      <c r="E39" s="62">
        <v>147.03337453646475</v>
      </c>
      <c r="F39" s="62">
        <v>188.56</v>
      </c>
      <c r="G39" s="65">
        <v>-3.3250000000000224</v>
      </c>
      <c r="H39" s="62">
        <v>174.54401268834258</v>
      </c>
      <c r="I39" s="62">
        <v>75.127942681678661</v>
      </c>
    </row>
    <row r="40" spans="1:9" ht="14" customHeight="1" x14ac:dyDescent="0.45">
      <c r="A40" s="55" t="s">
        <v>42</v>
      </c>
      <c r="B40" s="163"/>
      <c r="C40" s="163"/>
      <c r="D40" s="163"/>
      <c r="E40" s="163"/>
      <c r="F40" s="163"/>
      <c r="G40" s="163"/>
      <c r="H40" s="163"/>
      <c r="I40" s="163"/>
    </row>
    <row r="41" spans="1:9" ht="14" customHeight="1" x14ac:dyDescent="0.45">
      <c r="A41" s="1" t="s">
        <v>43</v>
      </c>
      <c r="B41" s="126" t="s">
        <v>61</v>
      </c>
      <c r="C41" s="56">
        <v>-12.031700288184455</v>
      </c>
      <c r="D41" s="56">
        <v>10.624635143023919</v>
      </c>
      <c r="E41" s="126" t="s">
        <v>61</v>
      </c>
      <c r="F41" s="56">
        <v>-15.576220524742613</v>
      </c>
      <c r="G41" s="56">
        <v>14.200260078023419</v>
      </c>
      <c r="H41" s="56">
        <v>-9.8591549295774623</v>
      </c>
      <c r="I41" s="60">
        <v>-8.1749049429657656</v>
      </c>
    </row>
    <row r="42" spans="1:9" ht="14" customHeight="1" x14ac:dyDescent="0.45">
      <c r="A42" s="97" t="s">
        <v>44</v>
      </c>
      <c r="B42" s="58">
        <v>41.40168721609345</v>
      </c>
      <c r="C42" s="58">
        <v>22.320041429311253</v>
      </c>
      <c r="D42" s="58">
        <v>27.967573827446458</v>
      </c>
      <c r="E42" s="58">
        <v>26.461901949202591</v>
      </c>
      <c r="F42" s="58">
        <v>-6.8181818181818237</v>
      </c>
      <c r="G42" s="63">
        <v>53.522867737948097</v>
      </c>
      <c r="H42" s="58">
        <v>16.047144152311898</v>
      </c>
      <c r="I42" s="58">
        <v>23.322033898305072</v>
      </c>
    </row>
    <row r="43" spans="1:9" ht="14" customHeight="1" x14ac:dyDescent="0.45">
      <c r="A43" s="1" t="s">
        <v>52</v>
      </c>
      <c r="B43" s="60">
        <v>6.637396694214881</v>
      </c>
      <c r="C43" s="56">
        <v>10.886699507389164</v>
      </c>
      <c r="D43" s="56">
        <v>37.205014749262503</v>
      </c>
      <c r="E43" s="56">
        <v>15.843968215747651</v>
      </c>
      <c r="F43" s="56">
        <v>2.9558286283626778</v>
      </c>
      <c r="G43" s="56">
        <v>8.805917576611467</v>
      </c>
      <c r="H43" s="56">
        <v>103.72175454142662</v>
      </c>
      <c r="I43" s="56">
        <v>7.4063722750139727</v>
      </c>
    </row>
    <row r="44" spans="1:9" ht="14" customHeight="1" x14ac:dyDescent="0.45">
      <c r="A44" s="97" t="s">
        <v>45</v>
      </c>
      <c r="B44" s="58">
        <v>-18.879056047197619</v>
      </c>
      <c r="C44" s="58">
        <v>32.624728850325369</v>
      </c>
      <c r="D44" s="58">
        <v>-13.094440723375744</v>
      </c>
      <c r="E44" s="58">
        <v>16.426512968299733</v>
      </c>
      <c r="F44" s="58">
        <v>6.6395663956639206</v>
      </c>
      <c r="G44" s="58">
        <v>0.19672131147541183</v>
      </c>
      <c r="H44" s="58">
        <v>10.624715002279949</v>
      </c>
      <c r="I44" s="58">
        <v>2.198316183348914</v>
      </c>
    </row>
    <row r="45" spans="1:9" ht="14" customHeight="1" x14ac:dyDescent="0.45">
      <c r="A45" s="99" t="s">
        <v>46</v>
      </c>
      <c r="B45" s="67">
        <v>-27.055306427503734</v>
      </c>
      <c r="C45" s="67">
        <v>-2.4841132293472068</v>
      </c>
      <c r="D45" s="67">
        <v>-27.471435668156975</v>
      </c>
      <c r="E45" s="67">
        <v>-15.267857142857133</v>
      </c>
      <c r="F45" s="67">
        <v>-30.508474576271162</v>
      </c>
      <c r="G45" s="67">
        <v>-28.165735567970195</v>
      </c>
      <c r="H45" s="67">
        <v>-20.651420651420661</v>
      </c>
      <c r="I45" s="67">
        <v>-18.020833333333329</v>
      </c>
    </row>
    <row r="46" spans="1:9" x14ac:dyDescent="0.45">
      <c r="A46" s="48"/>
      <c r="B46" s="56"/>
      <c r="C46" s="56"/>
      <c r="D46" s="56"/>
      <c r="E46" s="56"/>
      <c r="F46" s="56"/>
      <c r="G46" s="56"/>
      <c r="H46" s="56"/>
      <c r="I46" s="56"/>
    </row>
    <row r="47" spans="1:9" x14ac:dyDescent="0.45">
      <c r="A47" s="68" t="s">
        <v>12</v>
      </c>
      <c r="B47" s="69"/>
      <c r="C47" s="70"/>
      <c r="D47" s="70"/>
      <c r="E47" s="69"/>
      <c r="F47" s="70"/>
      <c r="G47" s="70"/>
      <c r="H47" s="70"/>
      <c r="I47" s="70"/>
    </row>
    <row r="48" spans="1:9" x14ac:dyDescent="0.45">
      <c r="A48" s="71" t="s">
        <v>54</v>
      </c>
      <c r="B48" s="71"/>
      <c r="C48" s="71"/>
      <c r="D48" s="71"/>
      <c r="E48" s="71"/>
      <c r="F48" s="71"/>
      <c r="G48" s="71"/>
      <c r="H48" s="71"/>
      <c r="I48" s="71"/>
    </row>
    <row r="49" spans="1:9" x14ac:dyDescent="0.45">
      <c r="A49" s="72" t="s">
        <v>14</v>
      </c>
      <c r="B49" s="69"/>
      <c r="C49" s="70"/>
      <c r="D49" s="70"/>
      <c r="E49" s="69"/>
      <c r="F49" s="70"/>
      <c r="G49" s="70"/>
      <c r="H49" s="70"/>
      <c r="I49" s="70"/>
    </row>
    <row r="50" spans="1:9" x14ac:dyDescent="0.45">
      <c r="A50" s="73" t="s">
        <v>15</v>
      </c>
      <c r="B50" s="74"/>
      <c r="C50" s="74"/>
      <c r="D50" s="74"/>
      <c r="E50" s="74"/>
      <c r="F50" s="74"/>
      <c r="G50" s="74"/>
      <c r="H50" s="74"/>
      <c r="I50" s="74"/>
    </row>
    <row r="51" spans="1:9" x14ac:dyDescent="0.45">
      <c r="A51" s="73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5" t="str">
        <f>+Índice!A14</f>
        <v>Fecha de actualización: 9 de mayo de 2024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3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3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3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I55"/>
  <sheetViews>
    <sheetView showGridLines="0" workbookViewId="0">
      <selection activeCell="A4" sqref="A4:I5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.5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57" t="s">
        <v>0</v>
      </c>
      <c r="B4" s="157"/>
      <c r="C4" s="157"/>
      <c r="D4" s="157"/>
      <c r="E4" s="157"/>
      <c r="F4" s="157"/>
      <c r="G4" s="157"/>
      <c r="H4" s="157"/>
      <c r="I4" s="157"/>
    </row>
    <row r="5" spans="1:9" s="48" customFormat="1" ht="27.75" customHeight="1" x14ac:dyDescent="0.4">
      <c r="A5" s="157"/>
      <c r="B5" s="157"/>
      <c r="C5" s="157"/>
      <c r="D5" s="157"/>
      <c r="E5" s="157"/>
      <c r="F5" s="157"/>
      <c r="G5" s="157"/>
      <c r="H5" s="157"/>
      <c r="I5" s="157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tr">
        <f>+"Variación anual. "&amp;Índice!A7</f>
        <v>Variación anual. Abril de 2024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76" t="s">
        <v>2</v>
      </c>
      <c r="C9" s="76" t="s">
        <v>3</v>
      </c>
      <c r="D9" s="76" t="s">
        <v>4</v>
      </c>
      <c r="E9" s="77" t="s">
        <v>5</v>
      </c>
      <c r="F9" s="76" t="s">
        <v>6</v>
      </c>
      <c r="G9" s="76" t="s">
        <v>7</v>
      </c>
      <c r="H9" s="76" t="s">
        <v>8</v>
      </c>
      <c r="I9" s="76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48" t="s">
        <v>18</v>
      </c>
      <c r="B11" s="60">
        <v>10.259433962264142</v>
      </c>
      <c r="C11" s="56">
        <v>18.914845516201993</v>
      </c>
      <c r="D11" s="56">
        <v>32.874015748031439</v>
      </c>
      <c r="E11" s="122" t="s">
        <v>61</v>
      </c>
      <c r="F11" s="56">
        <v>-7.4757281553397785</v>
      </c>
      <c r="G11" s="56">
        <v>28.710462287104587</v>
      </c>
      <c r="H11" s="56">
        <v>-0.71868583162215671</v>
      </c>
      <c r="I11" s="56">
        <v>-5.3087132140796083</v>
      </c>
    </row>
    <row r="12" spans="1:9" ht="14" customHeight="1" x14ac:dyDescent="0.45">
      <c r="A12" s="57" t="s">
        <v>19</v>
      </c>
      <c r="B12" s="58">
        <v>0.68811981380287879</v>
      </c>
      <c r="C12" s="58">
        <v>-13.916094138283885</v>
      </c>
      <c r="D12" s="58">
        <v>-24.886122077133312</v>
      </c>
      <c r="E12" s="124" t="s">
        <v>61</v>
      </c>
      <c r="F12" s="58">
        <v>-27.668193025713293</v>
      </c>
      <c r="G12" s="58">
        <v>5.292690324537408</v>
      </c>
      <c r="H12" s="58">
        <v>15.91165201712872</v>
      </c>
      <c r="I12" s="120" t="s">
        <v>61</v>
      </c>
    </row>
    <row r="13" spans="1:9" ht="14" customHeight="1" x14ac:dyDescent="0.45">
      <c r="A13" s="48" t="s">
        <v>20</v>
      </c>
      <c r="B13" s="56">
        <v>-10.46950890447922</v>
      </c>
      <c r="C13" s="56">
        <v>-30.181347150259064</v>
      </c>
      <c r="D13" s="56">
        <v>-21.810182275298562</v>
      </c>
      <c r="E13" s="56">
        <v>-20.366598778004096</v>
      </c>
      <c r="F13" s="56">
        <v>-28.449438202247222</v>
      </c>
      <c r="G13" s="56">
        <v>-23.038912909203212</v>
      </c>
      <c r="H13" s="56">
        <v>-25.565217391304341</v>
      </c>
      <c r="I13" s="56">
        <v>-25.925925925925931</v>
      </c>
    </row>
    <row r="14" spans="1:9" ht="14" customHeight="1" x14ac:dyDescent="0.45">
      <c r="A14" s="57" t="s">
        <v>21</v>
      </c>
      <c r="B14" s="59">
        <v>-44.523809523809547</v>
      </c>
      <c r="C14" s="58">
        <v>-36.04882202668179</v>
      </c>
      <c r="D14" s="58">
        <v>-45.39820266501394</v>
      </c>
      <c r="E14" s="125">
        <v>-46.540344901000651</v>
      </c>
      <c r="F14" s="63">
        <v>-47.268961946673592</v>
      </c>
      <c r="G14" s="58">
        <v>-50.838159097836055</v>
      </c>
      <c r="H14" s="58">
        <v>-30.401034928848645</v>
      </c>
      <c r="I14" s="58">
        <v>-13.433441558441539</v>
      </c>
    </row>
    <row r="15" spans="1:9" ht="14" customHeight="1" x14ac:dyDescent="0.45">
      <c r="A15" s="48" t="s">
        <v>22</v>
      </c>
      <c r="B15" s="122" t="s">
        <v>61</v>
      </c>
      <c r="C15" s="56">
        <v>-7.5175943698016834</v>
      </c>
      <c r="D15" s="56">
        <v>-9.5268138801261948</v>
      </c>
      <c r="E15" s="56">
        <v>13.890857547838431</v>
      </c>
      <c r="F15" s="56">
        <v>49.513888888888921</v>
      </c>
      <c r="G15" s="56">
        <v>7.2407045009784898</v>
      </c>
      <c r="H15" s="56">
        <v>-18.159203980099537</v>
      </c>
      <c r="I15" s="126" t="s">
        <v>61</v>
      </c>
    </row>
    <row r="16" spans="1:9" ht="14" customHeight="1" x14ac:dyDescent="0.45">
      <c r="A16" s="57" t="s">
        <v>23</v>
      </c>
      <c r="B16" s="58">
        <v>-12.809430255402731</v>
      </c>
      <c r="C16" s="58">
        <v>-17.444574095682619</v>
      </c>
      <c r="D16" s="58">
        <v>-31.703204047217547</v>
      </c>
      <c r="E16" s="58">
        <v>-0.19778481012659999</v>
      </c>
      <c r="F16" s="58">
        <v>-3.8307461191787739</v>
      </c>
      <c r="G16" s="58">
        <v>-37.335834896810496</v>
      </c>
      <c r="H16" s="58">
        <v>0.74584050487664921</v>
      </c>
      <c r="I16" s="58">
        <v>-7.761366927309588</v>
      </c>
    </row>
    <row r="17" spans="1:9" ht="14" customHeight="1" x14ac:dyDescent="0.45">
      <c r="A17" s="48" t="s">
        <v>24</v>
      </c>
      <c r="B17" s="56">
        <v>33.29007138221931</v>
      </c>
      <c r="C17" s="56">
        <v>22.099447513812144</v>
      </c>
      <c r="D17" s="56">
        <v>66.026587887740007</v>
      </c>
      <c r="E17" s="56">
        <v>31.932153392330378</v>
      </c>
      <c r="F17" s="56">
        <v>-17.197452229299358</v>
      </c>
      <c r="G17" s="56">
        <v>36.731742588575585</v>
      </c>
      <c r="H17" s="56">
        <v>7.3137388926862279</v>
      </c>
      <c r="I17" s="56">
        <v>-5.7467423989308148</v>
      </c>
    </row>
    <row r="18" spans="1:9" ht="14" customHeight="1" x14ac:dyDescent="0.45">
      <c r="A18" s="57" t="s">
        <v>25</v>
      </c>
      <c r="B18" s="58">
        <v>-14.85148514851482</v>
      </c>
      <c r="C18" s="58">
        <v>-24.094063222821894</v>
      </c>
      <c r="D18" s="58">
        <v>19.200779727095487</v>
      </c>
      <c r="E18" s="58">
        <v>-12.953020134228165</v>
      </c>
      <c r="F18" s="58">
        <v>-10.91476091476089</v>
      </c>
      <c r="G18" s="58">
        <v>-28.330206378986855</v>
      </c>
      <c r="H18" s="58">
        <v>-21.097647897362769</v>
      </c>
      <c r="I18" s="58">
        <v>-18.341708542713587</v>
      </c>
    </row>
    <row r="19" spans="1:9" ht="14" customHeight="1" x14ac:dyDescent="0.45">
      <c r="A19" s="48" t="s">
        <v>26</v>
      </c>
      <c r="B19" s="56">
        <v>-36.406869220607682</v>
      </c>
      <c r="C19" s="56">
        <v>-32.182741116751266</v>
      </c>
      <c r="D19" s="56">
        <v>-41.436567164179095</v>
      </c>
      <c r="E19" s="56">
        <v>-36.575481256332345</v>
      </c>
      <c r="F19" s="56">
        <v>-46.246246246246244</v>
      </c>
      <c r="G19" s="56">
        <v>-48.358817533129454</v>
      </c>
      <c r="H19" s="56">
        <v>-40.779717770868217</v>
      </c>
      <c r="I19" s="56">
        <v>-48.107808750230774</v>
      </c>
    </row>
    <row r="20" spans="1:9" ht="14" customHeight="1" x14ac:dyDescent="0.45">
      <c r="A20" s="57" t="s">
        <v>27</v>
      </c>
      <c r="B20" s="58">
        <v>-31.61251138779231</v>
      </c>
      <c r="C20" s="58">
        <v>-25.486223662884932</v>
      </c>
      <c r="D20" s="58">
        <v>-47.22807017543861</v>
      </c>
      <c r="E20" s="58">
        <v>-36.459330143540654</v>
      </c>
      <c r="F20" s="58">
        <v>-33.939393939393923</v>
      </c>
      <c r="G20" s="58">
        <v>-23.874223602484445</v>
      </c>
      <c r="H20" s="58">
        <v>-79.993053143452599</v>
      </c>
      <c r="I20" s="127">
        <v>-38.917378917378919</v>
      </c>
    </row>
    <row r="21" spans="1:9" ht="14" customHeight="1" x14ac:dyDescent="0.45">
      <c r="A21" s="48" t="s">
        <v>28</v>
      </c>
      <c r="B21" s="56">
        <v>104.75920679886683</v>
      </c>
      <c r="C21" s="56">
        <v>97.54634678298811</v>
      </c>
      <c r="D21" s="56">
        <v>105.8365758754864</v>
      </c>
      <c r="E21" s="60">
        <v>137.25856697819316</v>
      </c>
      <c r="F21" s="60">
        <v>69.867711905928459</v>
      </c>
      <c r="G21" s="60">
        <v>163.80281690140842</v>
      </c>
      <c r="H21" s="56">
        <v>128.8166768853464</v>
      </c>
      <c r="I21" s="56">
        <v>101.59958720330238</v>
      </c>
    </row>
    <row r="22" spans="1:9" ht="14" customHeight="1" x14ac:dyDescent="0.45">
      <c r="A22" s="61" t="s">
        <v>29</v>
      </c>
      <c r="B22" s="65">
        <v>-4.6897546897546665</v>
      </c>
      <c r="C22" s="62">
        <v>16.016504126031506</v>
      </c>
      <c r="D22" s="62">
        <v>16.43709825528008</v>
      </c>
      <c r="E22" s="62">
        <v>4.0178571428571619</v>
      </c>
      <c r="F22" s="62">
        <v>11.436541143654132</v>
      </c>
      <c r="G22" s="62">
        <v>52.276064610866428</v>
      </c>
      <c r="H22" s="62">
        <v>-8.8721804511278322</v>
      </c>
      <c r="I22" s="82">
        <v>-1.8104776579352944</v>
      </c>
    </row>
    <row r="23" spans="1:9" ht="14" customHeight="1" x14ac:dyDescent="0.45">
      <c r="A23" s="55" t="s">
        <v>30</v>
      </c>
      <c r="B23" s="163"/>
      <c r="C23" s="163"/>
      <c r="D23" s="163"/>
      <c r="E23" s="163"/>
      <c r="F23" s="163"/>
      <c r="G23" s="163"/>
      <c r="H23" s="163"/>
      <c r="I23" s="163"/>
    </row>
    <row r="24" spans="1:9" ht="14" customHeight="1" x14ac:dyDescent="0.45">
      <c r="A24" s="1" t="s">
        <v>48</v>
      </c>
      <c r="B24" s="122" t="s">
        <v>61</v>
      </c>
      <c r="C24" s="56">
        <v>59.259259259259366</v>
      </c>
      <c r="D24" s="60">
        <v>74.825174825174898</v>
      </c>
      <c r="E24" s="122" t="s">
        <v>61</v>
      </c>
      <c r="F24" s="60">
        <v>50.638243553740111</v>
      </c>
      <c r="G24" s="126" t="s">
        <v>61</v>
      </c>
      <c r="H24" s="56">
        <v>54.481827111984217</v>
      </c>
      <c r="I24" s="122" t="s">
        <v>61</v>
      </c>
    </row>
    <row r="25" spans="1:9" ht="14" customHeight="1" x14ac:dyDescent="0.45">
      <c r="A25" s="97" t="s">
        <v>31</v>
      </c>
      <c r="B25" s="58">
        <v>-33.630952380952394</v>
      </c>
      <c r="C25" s="58">
        <v>13.59307359307358</v>
      </c>
      <c r="D25" s="58">
        <v>52.383502945902571</v>
      </c>
      <c r="E25" s="124" t="s">
        <v>61</v>
      </c>
      <c r="F25" s="58">
        <v>29.85524728588662</v>
      </c>
      <c r="G25" s="58">
        <v>21.703296703296715</v>
      </c>
      <c r="H25" s="58">
        <v>8.347627215551757</v>
      </c>
      <c r="I25" s="58">
        <v>25.320729237002059</v>
      </c>
    </row>
    <row r="26" spans="1:9" ht="14" customHeight="1" x14ac:dyDescent="0.45">
      <c r="A26" s="1" t="s">
        <v>32</v>
      </c>
      <c r="B26" s="60">
        <v>27.516778523489993</v>
      </c>
      <c r="C26" s="56">
        <v>30.674434237060289</v>
      </c>
      <c r="D26" s="122" t="s">
        <v>61</v>
      </c>
      <c r="E26" s="56">
        <v>8.7380745880312425</v>
      </c>
      <c r="F26" s="56">
        <v>30.240103828682628</v>
      </c>
      <c r="G26" s="122" t="s">
        <v>61</v>
      </c>
      <c r="H26" s="56">
        <v>22.734707229309748</v>
      </c>
      <c r="I26" s="60">
        <v>24.653438434357145</v>
      </c>
    </row>
    <row r="27" spans="1:9" ht="14" customHeight="1" x14ac:dyDescent="0.45">
      <c r="A27" s="97" t="s">
        <v>33</v>
      </c>
      <c r="B27" s="124" t="s">
        <v>61</v>
      </c>
      <c r="C27" s="58">
        <v>-10.438768827766843</v>
      </c>
      <c r="D27" s="58">
        <v>-10.640706361783991</v>
      </c>
      <c r="E27" s="120" t="s">
        <v>61</v>
      </c>
      <c r="F27" s="63">
        <v>-15.864907052646505</v>
      </c>
      <c r="G27" s="120">
        <v>16.406552302334521</v>
      </c>
      <c r="H27" s="58">
        <v>3.1415241057542787</v>
      </c>
      <c r="I27" s="58">
        <v>-14.811111111111085</v>
      </c>
    </row>
    <row r="28" spans="1:9" ht="14" customHeight="1" x14ac:dyDescent="0.45">
      <c r="A28" s="1" t="s">
        <v>34</v>
      </c>
      <c r="B28" s="56">
        <v>41.112929623567872</v>
      </c>
      <c r="C28" s="56">
        <v>64.195450716090988</v>
      </c>
      <c r="D28" s="56">
        <v>129.98624484181565</v>
      </c>
      <c r="E28" s="56">
        <v>23.420195439739388</v>
      </c>
      <c r="F28" s="60">
        <v>5.9207662168045516</v>
      </c>
      <c r="G28" s="56">
        <v>54.639620198532569</v>
      </c>
      <c r="H28" s="56">
        <v>23.662815575524188</v>
      </c>
      <c r="I28" s="56">
        <v>20.351043643263743</v>
      </c>
    </row>
    <row r="29" spans="1:9" ht="14" customHeight="1" x14ac:dyDescent="0.45">
      <c r="A29" s="97" t="s">
        <v>55</v>
      </c>
      <c r="B29" s="63">
        <v>-36.953094205754809</v>
      </c>
      <c r="C29" s="63">
        <v>-40.811606391925991</v>
      </c>
      <c r="D29" s="58">
        <v>-35.37494177922683</v>
      </c>
      <c r="E29" s="58">
        <v>-32.276995305164313</v>
      </c>
      <c r="F29" s="63">
        <v>-48.293595137914899</v>
      </c>
      <c r="G29" s="63">
        <v>-32.80204643841008</v>
      </c>
      <c r="H29" s="58">
        <v>-46.418786692759319</v>
      </c>
      <c r="I29" s="58">
        <v>-54.840049854590767</v>
      </c>
    </row>
    <row r="30" spans="1:9" ht="14" customHeight="1" x14ac:dyDescent="0.45">
      <c r="A30" s="1" t="s">
        <v>35</v>
      </c>
      <c r="B30" s="56">
        <v>26.212816929526817</v>
      </c>
      <c r="C30" s="56">
        <v>41.260373443983411</v>
      </c>
      <c r="D30" s="56">
        <v>40.015243902439046</v>
      </c>
      <c r="E30" s="56">
        <v>28.363485132044076</v>
      </c>
      <c r="F30" s="56">
        <v>38.970157987126996</v>
      </c>
      <c r="G30" s="56">
        <v>19.738339021615502</v>
      </c>
      <c r="H30" s="56">
        <v>38.605396740582457</v>
      </c>
      <c r="I30" s="56">
        <v>53.472649047326357</v>
      </c>
    </row>
    <row r="31" spans="1:9" ht="14" customHeight="1" x14ac:dyDescent="0.45">
      <c r="A31" s="97" t="s">
        <v>36</v>
      </c>
      <c r="B31" s="58">
        <v>49.090139652983609</v>
      </c>
      <c r="C31" s="58">
        <v>143.5190005205622</v>
      </c>
      <c r="D31" s="58" t="s">
        <v>61</v>
      </c>
      <c r="E31" s="120" t="s">
        <v>61</v>
      </c>
      <c r="F31" s="63">
        <v>176.55279503105587</v>
      </c>
      <c r="G31" s="58">
        <v>8.9765912168697781</v>
      </c>
      <c r="H31" s="58">
        <v>194.11564625850346</v>
      </c>
      <c r="I31" s="146" t="s">
        <v>61</v>
      </c>
    </row>
    <row r="32" spans="1:9" ht="14" customHeight="1" x14ac:dyDescent="0.45">
      <c r="A32" s="1" t="s">
        <v>37</v>
      </c>
      <c r="B32" s="64">
        <v>55.435203094777606</v>
      </c>
      <c r="C32" s="64">
        <v>68.290496114763883</v>
      </c>
      <c r="D32" s="56">
        <v>51.423921887713611</v>
      </c>
      <c r="E32" s="126" t="s">
        <v>61</v>
      </c>
      <c r="F32" s="56">
        <v>67.01665459811737</v>
      </c>
      <c r="G32" s="122" t="s">
        <v>61</v>
      </c>
      <c r="H32" s="56">
        <v>104.93375970762906</v>
      </c>
      <c r="I32" s="64">
        <v>65.785714285714263</v>
      </c>
    </row>
    <row r="33" spans="1:9" ht="14" customHeight="1" x14ac:dyDescent="0.45">
      <c r="A33" s="97" t="s">
        <v>51</v>
      </c>
      <c r="B33" s="120" t="s">
        <v>61</v>
      </c>
      <c r="C33" s="58">
        <v>-3.2282608695652359</v>
      </c>
      <c r="D33" s="58">
        <v>-1.9344376230742921</v>
      </c>
      <c r="E33" s="58">
        <v>5.3012584920369754</v>
      </c>
      <c r="F33" s="58">
        <v>-1.6266919971503091</v>
      </c>
      <c r="G33" s="58">
        <v>-1.4373055883299179</v>
      </c>
      <c r="H33" s="58">
        <v>-4.9780041676313891</v>
      </c>
      <c r="I33" s="58">
        <v>-4.7350879209286045</v>
      </c>
    </row>
    <row r="34" spans="1:9" ht="14" customHeight="1" x14ac:dyDescent="0.45">
      <c r="A34" s="1" t="s">
        <v>38</v>
      </c>
      <c r="B34" s="60">
        <v>-5.9151597093121566</v>
      </c>
      <c r="C34" s="56">
        <v>0.49140049140050657</v>
      </c>
      <c r="D34" s="56">
        <v>-8.4839136183340376</v>
      </c>
      <c r="E34" s="122" t="s">
        <v>61</v>
      </c>
      <c r="F34" s="56">
        <v>8.5879768324346415</v>
      </c>
      <c r="G34" s="56">
        <v>47.457264957264968</v>
      </c>
      <c r="H34" s="56">
        <v>-3.4057045551298626</v>
      </c>
      <c r="I34" s="56">
        <v>14.662973222530052</v>
      </c>
    </row>
    <row r="35" spans="1:9" ht="14" customHeight="1" x14ac:dyDescent="0.45">
      <c r="A35" s="97" t="s">
        <v>39</v>
      </c>
      <c r="B35" s="58">
        <v>65.586481113320104</v>
      </c>
      <c r="C35" s="58">
        <v>67.480196959965724</v>
      </c>
      <c r="D35" s="58">
        <v>101.56294401818697</v>
      </c>
      <c r="E35" s="58">
        <v>74.491465980827698</v>
      </c>
      <c r="F35" s="58">
        <v>58.408408408408462</v>
      </c>
      <c r="G35" s="58">
        <v>29.090909090909101</v>
      </c>
      <c r="H35" s="58">
        <v>144.20939404804588</v>
      </c>
      <c r="I35" s="58">
        <v>64.393179538615868</v>
      </c>
    </row>
    <row r="36" spans="1:9" ht="14" customHeight="1" x14ac:dyDescent="0.45">
      <c r="A36" s="1" t="s">
        <v>57</v>
      </c>
      <c r="B36" s="122" t="s">
        <v>61</v>
      </c>
      <c r="C36" s="56">
        <v>15.533980582524265</v>
      </c>
      <c r="D36" s="56">
        <v>-4.5235223160434268</v>
      </c>
      <c r="E36" s="60">
        <v>-5.2516411378556231</v>
      </c>
      <c r="F36" s="128">
        <v>23.753169907016101</v>
      </c>
      <c r="G36" s="60">
        <v>16.912751677852313</v>
      </c>
      <c r="H36" s="56">
        <v>31.469152241455877</v>
      </c>
      <c r="I36" s="56">
        <v>28.857715430861752</v>
      </c>
    </row>
    <row r="37" spans="1:9" ht="14" customHeight="1" x14ac:dyDescent="0.45">
      <c r="A37" s="97" t="s">
        <v>56</v>
      </c>
      <c r="B37" s="124" t="s">
        <v>61</v>
      </c>
      <c r="C37" s="63">
        <v>-9.8130841121495287</v>
      </c>
      <c r="D37" s="58">
        <v>-19.734748010610094</v>
      </c>
      <c r="E37" s="63">
        <v>-30.301794453507323</v>
      </c>
      <c r="F37" s="58">
        <v>-26.366715045960319</v>
      </c>
      <c r="G37" s="58">
        <v>0.61224489795919101</v>
      </c>
      <c r="H37" s="58">
        <v>-21.322985957132289</v>
      </c>
      <c r="I37" s="58">
        <v>-23.091247672253257</v>
      </c>
    </row>
    <row r="38" spans="1:9" ht="14" customHeight="1" x14ac:dyDescent="0.45">
      <c r="A38" s="1" t="s">
        <v>40</v>
      </c>
      <c r="B38" s="56">
        <v>34.696132596685068</v>
      </c>
      <c r="C38" s="56">
        <v>28.538147932440296</v>
      </c>
      <c r="D38" s="56">
        <v>33.2153392330383</v>
      </c>
      <c r="E38" s="60">
        <v>33.389374579690625</v>
      </c>
      <c r="F38" s="60">
        <v>8.9743589743589638</v>
      </c>
      <c r="G38" s="56">
        <v>26.105563480741868</v>
      </c>
      <c r="H38" s="60">
        <v>12.504341785342188</v>
      </c>
      <c r="I38" s="60">
        <v>18.94519740718912</v>
      </c>
    </row>
    <row r="39" spans="1:9" ht="14" customHeight="1" x14ac:dyDescent="0.45">
      <c r="A39" s="98" t="s">
        <v>41</v>
      </c>
      <c r="B39" s="62">
        <v>25.271565495207682</v>
      </c>
      <c r="C39" s="62">
        <v>9.9769509384260537</v>
      </c>
      <c r="D39" s="62">
        <v>25.605536332179856</v>
      </c>
      <c r="E39" s="62">
        <v>18.289434744007082</v>
      </c>
      <c r="F39" s="62">
        <v>11.671826625387016</v>
      </c>
      <c r="G39" s="65">
        <v>1.3896171997902274</v>
      </c>
      <c r="H39" s="62">
        <v>15.323117921385698</v>
      </c>
      <c r="I39" s="62">
        <v>8.7730451366815778</v>
      </c>
    </row>
    <row r="40" spans="1:9" ht="14" customHeight="1" x14ac:dyDescent="0.45">
      <c r="A40" s="55" t="s">
        <v>42</v>
      </c>
      <c r="B40" s="163"/>
      <c r="C40" s="163"/>
      <c r="D40" s="163"/>
      <c r="E40" s="163"/>
      <c r="F40" s="163"/>
      <c r="G40" s="163"/>
      <c r="H40" s="163"/>
      <c r="I40" s="163"/>
    </row>
    <row r="41" spans="1:9" ht="14" customHeight="1" x14ac:dyDescent="0.45">
      <c r="A41" s="48" t="s">
        <v>43</v>
      </c>
      <c r="B41" s="126" t="s">
        <v>61</v>
      </c>
      <c r="C41" s="56">
        <v>-30.288324293462765</v>
      </c>
      <c r="D41" s="56">
        <v>-7.3349633251833524</v>
      </c>
      <c r="E41" s="126" t="s">
        <v>61</v>
      </c>
      <c r="F41" s="56">
        <v>-28.855303666386789</v>
      </c>
      <c r="G41" s="56">
        <v>-6.5744680851063997</v>
      </c>
      <c r="H41" s="56">
        <v>-70.206896551724142</v>
      </c>
      <c r="I41" s="60">
        <v>-28.017883755588635</v>
      </c>
    </row>
    <row r="42" spans="1:9" ht="14" customHeight="1" x14ac:dyDescent="0.45">
      <c r="A42" s="57" t="s">
        <v>44</v>
      </c>
      <c r="B42" s="58">
        <v>27.203736135434898</v>
      </c>
      <c r="C42" s="58">
        <v>37.166085946573759</v>
      </c>
      <c r="D42" s="58">
        <v>27.893518518518533</v>
      </c>
      <c r="E42" s="58">
        <v>16.739367502726289</v>
      </c>
      <c r="F42" s="58">
        <v>28.125</v>
      </c>
      <c r="G42" s="63">
        <v>46.117647058823529</v>
      </c>
      <c r="H42" s="58">
        <v>24.938994631527599</v>
      </c>
      <c r="I42" s="58">
        <v>39.815526518062974</v>
      </c>
    </row>
    <row r="43" spans="1:9" ht="14" customHeight="1" x14ac:dyDescent="0.45">
      <c r="A43" s="48" t="s">
        <v>52</v>
      </c>
      <c r="B43" s="60">
        <v>-19.856366459627296</v>
      </c>
      <c r="C43" s="56">
        <v>-14.345509893455111</v>
      </c>
      <c r="D43" s="56">
        <v>-11.678139093282713</v>
      </c>
      <c r="E43" s="56">
        <v>-10.459705937092922</v>
      </c>
      <c r="F43" s="56">
        <v>-22.012578616352208</v>
      </c>
      <c r="G43" s="56">
        <v>-30.817469204927228</v>
      </c>
      <c r="H43" s="56">
        <v>5.579793340987349</v>
      </c>
      <c r="I43" s="56">
        <v>-10.503027480204906</v>
      </c>
    </row>
    <row r="44" spans="1:9" ht="14" customHeight="1" x14ac:dyDescent="0.45">
      <c r="A44" s="57" t="s">
        <v>45</v>
      </c>
      <c r="B44" s="58">
        <v>-48.099218118091123</v>
      </c>
      <c r="C44" s="58">
        <v>-35.479105107640365</v>
      </c>
      <c r="D44" s="58">
        <v>-45.903689806128831</v>
      </c>
      <c r="E44" s="58">
        <v>-52.498530276308031</v>
      </c>
      <c r="F44" s="58">
        <v>-27.241910631741163</v>
      </c>
      <c r="G44" s="58">
        <v>-33.867128327201904</v>
      </c>
      <c r="H44" s="58">
        <v>-24.564676616915449</v>
      </c>
      <c r="I44" s="58">
        <v>-26.356589147286812</v>
      </c>
    </row>
    <row r="45" spans="1:9" ht="14" customHeight="1" x14ac:dyDescent="0.45">
      <c r="A45" s="66" t="s">
        <v>46</v>
      </c>
      <c r="B45" s="67">
        <v>-47.357065803667744</v>
      </c>
      <c r="C45" s="67">
        <v>-30.734509643003694</v>
      </c>
      <c r="D45" s="67">
        <v>-36.714347637624613</v>
      </c>
      <c r="E45" s="67">
        <v>-45.049218297625934</v>
      </c>
      <c r="F45" s="67">
        <v>-58.564931783729136</v>
      </c>
      <c r="G45" s="67">
        <v>-48.669328010645373</v>
      </c>
      <c r="H45" s="67">
        <v>-45.553970518307196</v>
      </c>
      <c r="I45" s="67">
        <v>-58.315677966101696</v>
      </c>
    </row>
    <row r="46" spans="1:9" x14ac:dyDescent="0.45">
      <c r="A46" s="68"/>
      <c r="B46" s="78"/>
      <c r="C46" s="78"/>
      <c r="D46" s="78"/>
      <c r="E46" s="78"/>
      <c r="F46" s="78"/>
      <c r="G46" s="78"/>
      <c r="H46" s="78"/>
      <c r="I46" s="78"/>
    </row>
    <row r="47" spans="1:9" x14ac:dyDescent="0.45">
      <c r="A47" s="68" t="s">
        <v>12</v>
      </c>
      <c r="B47" s="69"/>
      <c r="C47" s="70"/>
      <c r="D47" s="70"/>
      <c r="E47" s="69"/>
      <c r="F47" s="70"/>
      <c r="G47" s="70"/>
      <c r="H47" s="70"/>
      <c r="I47" s="70"/>
    </row>
    <row r="48" spans="1:9" x14ac:dyDescent="0.45">
      <c r="A48" s="71" t="s">
        <v>53</v>
      </c>
      <c r="B48" s="71"/>
      <c r="C48" s="71"/>
      <c r="D48" s="71"/>
      <c r="E48" s="71"/>
      <c r="F48" s="71"/>
      <c r="G48" s="71"/>
      <c r="H48" s="71"/>
      <c r="I48" s="71"/>
    </row>
    <row r="49" spans="1:9" x14ac:dyDescent="0.45">
      <c r="A49" s="72" t="s">
        <v>14</v>
      </c>
      <c r="B49" s="69"/>
      <c r="C49" s="70"/>
      <c r="D49" s="70"/>
      <c r="E49" s="69"/>
      <c r="F49" s="70"/>
      <c r="G49" s="70"/>
      <c r="H49" s="70"/>
      <c r="I49" s="70"/>
    </row>
    <row r="50" spans="1:9" x14ac:dyDescent="0.45">
      <c r="A50" s="73" t="s">
        <v>15</v>
      </c>
      <c r="B50" s="74"/>
      <c r="C50" s="74"/>
      <c r="D50" s="74"/>
      <c r="E50" s="74"/>
      <c r="F50" s="74"/>
      <c r="G50" s="74"/>
      <c r="H50" s="74"/>
      <c r="I50" s="74"/>
    </row>
    <row r="51" spans="1:9" x14ac:dyDescent="0.45">
      <c r="A51" s="73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5" t="str">
        <f>+Índice!A14</f>
        <v>Fecha de actualización: 9 de mayo de 2024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3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3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3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Anexo 1</vt:lpstr>
      <vt:lpstr>Anexo 2</vt:lpstr>
      <vt:lpstr>Anexo 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2024-05-02T14:36:37Z</dcterms:modified>
</cp:coreProperties>
</file>