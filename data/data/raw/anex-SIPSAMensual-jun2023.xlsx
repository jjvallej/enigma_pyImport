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Z:\Mayoristas\boletines\mensual\2023\Junio\"/>
    </mc:Choice>
  </mc:AlternateContent>
  <xr:revisionPtr revIDLastSave="0" documentId="13_ncr:1_{16663335-DA1A-48E1-901D-932E4E1564DC}" xr6:coauthVersionLast="47" xr6:coauthVersionMax="47" xr10:uidLastSave="{00000000-0000-0000-0000-000000000000}"/>
  <bookViews>
    <workbookView xWindow="-110" yWindow="-110" windowWidth="19420" windowHeight="10420" tabRatio="815" xr2:uid="{00000000-000D-0000-FFFF-FFFF00000000}"/>
  </bookViews>
  <sheets>
    <sheet name="Índice" sheetId="519" r:id="rId1"/>
    <sheet name="Anexo 1" sheetId="520" r:id="rId2"/>
    <sheet name="Anexo 2" sheetId="521" r:id="rId3"/>
    <sheet name="Anexo 3" sheetId="5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2" i="519" l="1"/>
  <c r="A79" i="520"/>
  <c r="A52" i="521"/>
  <c r="A52" i="522"/>
  <c r="A11" i="519"/>
  <c r="A10" i="519" l="1"/>
</calcChain>
</file>

<file path=xl/sharedStrings.xml><?xml version="1.0" encoding="utf-8"?>
<sst xmlns="http://schemas.openxmlformats.org/spreadsheetml/2006/main" count="387" uniqueCount="93">
  <si>
    <t>Sistema de Información de Precios y Abastecimiento del Sector Agropecuario -SIPSA- 
Precios Mayoristas</t>
  </si>
  <si>
    <t>Precio $/Kg</t>
  </si>
  <si>
    <t>Barranquilla</t>
  </si>
  <si>
    <t>Bogotá</t>
  </si>
  <si>
    <t>Bucaramanga</t>
  </si>
  <si>
    <t>Cartagena</t>
  </si>
  <si>
    <t>Cali</t>
  </si>
  <si>
    <t>Cúcuta</t>
  </si>
  <si>
    <t>Medellín</t>
  </si>
  <si>
    <t>Pereira</t>
  </si>
  <si>
    <t>Precio</t>
  </si>
  <si>
    <t>Var %</t>
  </si>
  <si>
    <t>*Variedad predominante en el mercado</t>
  </si>
  <si>
    <t>** Los precios reportados para los huevos son $/unidad y los del aceite vegetal mezcla $/litro.</t>
  </si>
  <si>
    <t>n.d.: no disponible</t>
  </si>
  <si>
    <t xml:space="preserve"> -: no es posible calcular la variación</t>
  </si>
  <si>
    <t>Comportamiento de los precios mayoristas de los principales alimentos en las principales ocho ciudades.</t>
  </si>
  <si>
    <t>Hortalizas y verduras</t>
  </si>
  <si>
    <t>Ahuyama</t>
  </si>
  <si>
    <t>Arveja verde en vaina</t>
  </si>
  <si>
    <t>Cebolla cabezona blanca</t>
  </si>
  <si>
    <t>Cebolla junca</t>
  </si>
  <si>
    <t>Chócolo mazorca</t>
  </si>
  <si>
    <t>Habichuela</t>
  </si>
  <si>
    <t>Lechuga Batavia</t>
  </si>
  <si>
    <t>Pepino cohombro</t>
  </si>
  <si>
    <t>Pimentón</t>
  </si>
  <si>
    <t>Remolacha</t>
  </si>
  <si>
    <t>Tomate*</t>
  </si>
  <si>
    <t>Zanahoria</t>
  </si>
  <si>
    <t>Frutas frescas</t>
  </si>
  <si>
    <t>Banano*</t>
  </si>
  <si>
    <t>Coco</t>
  </si>
  <si>
    <t>Granadilla</t>
  </si>
  <si>
    <t>Guayaba pera</t>
  </si>
  <si>
    <t>Lulo</t>
  </si>
  <si>
    <t>Mandarina*</t>
  </si>
  <si>
    <t>Mango Tommy</t>
  </si>
  <si>
    <t>Maracuyá</t>
  </si>
  <si>
    <t>Mora de Castilla</t>
  </si>
  <si>
    <t>Naranja Valencia</t>
  </si>
  <si>
    <t>Piña *</t>
  </si>
  <si>
    <t>Tomate de árbol</t>
  </si>
  <si>
    <t>Tubérculos y plátanos</t>
  </si>
  <si>
    <t>Arracacha*</t>
  </si>
  <si>
    <t>Papa negra*</t>
  </si>
  <si>
    <t>Plátano hartón verde</t>
  </si>
  <si>
    <t>Yuca*</t>
  </si>
  <si>
    <t>SISTEMA DE INFORMACIÓN DE PRECIOS Y ABASTECIMIENTO DEL SECTOR AGROPECUARIO 
-SIPSA- 
PRECIOS MAYORISTAS</t>
  </si>
  <si>
    <t>Aguacate papelillo</t>
  </si>
  <si>
    <t>Var%: Variación porcentual con respecto al promedio del mes anterior. Dado que la variedad predominante en el mercado puede 
cambiar de un período a otro, las variaciones reportadas pueden obedecer a estos cambios, al igual que el mercado reportado en cada ciudad.</t>
  </si>
  <si>
    <t>Producto</t>
  </si>
  <si>
    <t>Limón común</t>
  </si>
  <si>
    <t>Manzana verde importada</t>
  </si>
  <si>
    <t>Papaya Maradol</t>
  </si>
  <si>
    <t>Papa criolla</t>
  </si>
  <si>
    <t>Var%: Variación porcentual con respecto al promedio del mismo mes del año anterior</t>
  </si>
  <si>
    <t>Var%: Variación porcentual en lo corrido del año</t>
  </si>
  <si>
    <t>Limón Tahití</t>
  </si>
  <si>
    <t>Papaya*</t>
  </si>
  <si>
    <t>Uva red globe nacional</t>
  </si>
  <si>
    <t>Papa criolla limpia</t>
  </si>
  <si>
    <t>Granos, cárnicos y procesados</t>
  </si>
  <si>
    <t>Arroz de primera</t>
  </si>
  <si>
    <t>Arveja verde seca importada</t>
  </si>
  <si>
    <t>Fríjol seco*</t>
  </si>
  <si>
    <t>Garbanzo importado</t>
  </si>
  <si>
    <t>Lenteja importada</t>
  </si>
  <si>
    <t>Maíz blanco trillado</t>
  </si>
  <si>
    <t>Queso costeño</t>
  </si>
  <si>
    <t>Carne de cerdo, costilla</t>
  </si>
  <si>
    <t>Carne de res, lomo fino</t>
  </si>
  <si>
    <t>Pechuga de pollo</t>
  </si>
  <si>
    <t>Aceite vegetal mezcla**</t>
  </si>
  <si>
    <t>Azúcar sulfitada</t>
  </si>
  <si>
    <t>Galletas saladas</t>
  </si>
  <si>
    <t>Harina de trigo</t>
  </si>
  <si>
    <t>Harina precocida de maíz</t>
  </si>
  <si>
    <t>Jugo instantáneo (sobre)</t>
  </si>
  <si>
    <t>Lomitos de atún en lata</t>
  </si>
  <si>
    <t>Margarina</t>
  </si>
  <si>
    <t>Panela*</t>
  </si>
  <si>
    <t>Pastas alimenticias</t>
  </si>
  <si>
    <t>Salsa de tomate doy pack</t>
  </si>
  <si>
    <t>Sardinas en lata</t>
  </si>
  <si>
    <t>Junio de 2023</t>
  </si>
  <si>
    <t>Fecha de actualización: 11 de julio de 2023</t>
  </si>
  <si>
    <t>Variación mensual. Junio de 2023</t>
  </si>
  <si>
    <t>Variación año corrido. Junio de 2023</t>
  </si>
  <si>
    <t>Variación anual. Junio de 2023</t>
  </si>
  <si>
    <t>n.d.</t>
  </si>
  <si>
    <t>-</t>
  </si>
  <si>
    <t>Huevo tipo A**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</si>
</sst>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(* #,##0_);_(* \(#,##0\);_(* &quot;-&quot;??_);_(@_)"/>
  </numFmts>
  <fonts count="32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8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4" applyNumberFormat="0" applyAlignment="0" applyProtection="0"/>
    <xf numFmtId="0" fontId="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4" applyNumberFormat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28" borderId="0" applyNumberFormat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29" borderId="0" applyNumberFormat="0" applyBorder="0" applyAlignment="0" applyProtection="0"/>
    <xf numFmtId="0" fontId="6" fillId="0" borderId="0"/>
    <xf numFmtId="0" fontId="6" fillId="30" borderId="6" applyNumberFormat="0" applyFon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20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17" fillId="0" borderId="0" xfId="0" applyFont="1"/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 wrapText="1"/>
    </xf>
    <xf numFmtId="0" fontId="20" fillId="0" borderId="0" xfId="0" applyFont="1"/>
    <xf numFmtId="167" fontId="21" fillId="0" borderId="2" xfId="33" applyNumberFormat="1" applyFont="1" applyFill="1" applyBorder="1" applyAlignment="1">
      <alignment horizontal="center"/>
    </xf>
    <xf numFmtId="167" fontId="24" fillId="0" borderId="0" xfId="33" applyNumberFormat="1" applyFont="1" applyAlignment="1">
      <alignment horizontal="right"/>
    </xf>
    <xf numFmtId="2" fontId="24" fillId="0" borderId="0" xfId="33" applyNumberFormat="1" applyFont="1" applyAlignment="1">
      <alignment horizontal="right"/>
    </xf>
    <xf numFmtId="0" fontId="22" fillId="0" borderId="0" xfId="0" applyFont="1"/>
    <xf numFmtId="0" fontId="20" fillId="31" borderId="0" xfId="0" applyFont="1" applyFill="1"/>
    <xf numFmtId="0" fontId="28" fillId="31" borderId="0" xfId="0" applyFont="1" applyFill="1" applyAlignment="1">
      <alignment vertical="center"/>
    </xf>
    <xf numFmtId="0" fontId="25" fillId="32" borderId="0" xfId="0" applyFont="1" applyFill="1"/>
    <xf numFmtId="0" fontId="20" fillId="32" borderId="0" xfId="0" applyFont="1" applyFill="1"/>
    <xf numFmtId="0" fontId="19" fillId="31" borderId="0" xfId="0" applyFont="1" applyFill="1"/>
    <xf numFmtId="0" fontId="25" fillId="31" borderId="0" xfId="0" applyFont="1" applyFill="1"/>
    <xf numFmtId="0" fontId="23" fillId="0" borderId="0" xfId="0" applyFont="1"/>
    <xf numFmtId="0" fontId="17" fillId="0" borderId="0" xfId="0" applyFont="1" applyAlignment="1">
      <alignment horizontal="right"/>
    </xf>
    <xf numFmtId="0" fontId="19" fillId="33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0" fontId="2" fillId="31" borderId="0" xfId="31" quotePrefix="1" applyFill="1" applyBorder="1" applyAlignment="1" applyProtection="1">
      <alignment vertical="center"/>
    </xf>
    <xf numFmtId="4" fontId="21" fillId="0" borderId="2" xfId="33" applyNumberFormat="1" applyFont="1" applyFill="1" applyBorder="1" applyAlignment="1">
      <alignment horizontal="center"/>
    </xf>
    <xf numFmtId="0" fontId="23" fillId="33" borderId="0" xfId="36" applyFont="1" applyFill="1"/>
    <xf numFmtId="3" fontId="24" fillId="33" borderId="0" xfId="34" applyNumberFormat="1" applyFont="1" applyFill="1" applyBorder="1" applyAlignment="1">
      <alignment horizontal="right"/>
    </xf>
    <xf numFmtId="3" fontId="24" fillId="33" borderId="0" xfId="34" applyNumberFormat="1" applyFont="1" applyFill="1" applyBorder="1" applyAlignment="1">
      <alignment horizontal="right" vertical="center"/>
    </xf>
    <xf numFmtId="0" fontId="23" fillId="0" borderId="0" xfId="36" applyFont="1"/>
    <xf numFmtId="3" fontId="24" fillId="0" borderId="0" xfId="34" applyNumberFormat="1" applyFont="1" applyFill="1" applyBorder="1" applyAlignment="1">
      <alignment horizontal="center"/>
    </xf>
    <xf numFmtId="3" fontId="24" fillId="0" borderId="0" xfId="34" applyNumberFormat="1" applyFont="1" applyFill="1" applyBorder="1" applyAlignment="1">
      <alignment horizontal="right"/>
    </xf>
    <xf numFmtId="3" fontId="24" fillId="0" borderId="0" xfId="34" applyNumberFormat="1" applyFont="1" applyFill="1" applyBorder="1" applyAlignment="1">
      <alignment horizontal="right" vertical="center"/>
    </xf>
    <xf numFmtId="3" fontId="24" fillId="33" borderId="0" xfId="34" applyNumberFormat="1" applyFont="1" applyFill="1" applyBorder="1" applyAlignment="1">
      <alignment horizontal="center" vertical="center"/>
    </xf>
    <xf numFmtId="3" fontId="24" fillId="0" borderId="0" xfId="34" applyNumberFormat="1" applyFont="1" applyFill="1" applyBorder="1" applyAlignment="1">
      <alignment horizontal="right" vertical="justify"/>
    </xf>
    <xf numFmtId="3" fontId="24" fillId="0" borderId="0" xfId="34" applyNumberFormat="1" applyFont="1" applyFill="1" applyBorder="1" applyAlignment="1">
      <alignment horizontal="center" vertical="center"/>
    </xf>
    <xf numFmtId="0" fontId="24" fillId="0" borderId="0" xfId="34" applyNumberFormat="1" applyFont="1" applyFill="1" applyBorder="1" applyAlignment="1">
      <alignment horizontal="center" vertical="center"/>
    </xf>
    <xf numFmtId="0" fontId="23" fillId="0" borderId="2" xfId="36" applyFont="1" applyBorder="1"/>
    <xf numFmtId="3" fontId="24" fillId="0" borderId="2" xfId="34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0" fontId="23" fillId="33" borderId="0" xfId="0" applyFont="1" applyFill="1"/>
    <xf numFmtId="3" fontId="24" fillId="33" borderId="0" xfId="0" applyNumberFormat="1" applyFont="1" applyFill="1" applyAlignment="1">
      <alignment horizontal="right"/>
    </xf>
    <xf numFmtId="167" fontId="24" fillId="0" borderId="0" xfId="34" applyNumberFormat="1" applyFont="1" applyFill="1" applyBorder="1" applyAlignment="1">
      <alignment horizontal="right"/>
    </xf>
    <xf numFmtId="2" fontId="24" fillId="0" borderId="0" xfId="34" applyNumberFormat="1" applyFont="1" applyFill="1" applyBorder="1" applyAlignment="1">
      <alignment horizontal="right"/>
    </xf>
    <xf numFmtId="0" fontId="24" fillId="0" borderId="0" xfId="34" applyNumberFormat="1" applyFont="1" applyFill="1" applyBorder="1" applyAlignment="1">
      <alignment horizontal="right" vertical="center"/>
    </xf>
    <xf numFmtId="0" fontId="20" fillId="0" borderId="0" xfId="36" applyFont="1"/>
    <xf numFmtId="167" fontId="24" fillId="0" borderId="0" xfId="34" applyNumberFormat="1" applyFont="1" applyAlignment="1">
      <alignment horizontal="right"/>
    </xf>
    <xf numFmtId="2" fontId="24" fillId="0" borderId="0" xfId="34" applyNumberFormat="1" applyFont="1" applyAlignment="1">
      <alignment horizontal="right"/>
    </xf>
    <xf numFmtId="0" fontId="23" fillId="0" borderId="0" xfId="36" applyFont="1" applyAlignment="1">
      <alignment vertical="center"/>
    </xf>
    <xf numFmtId="0" fontId="23" fillId="0" borderId="0" xfId="36" applyFont="1" applyAlignment="1">
      <alignment horizontal="right"/>
    </xf>
    <xf numFmtId="2" fontId="23" fillId="0" borderId="0" xfId="34" applyNumberFormat="1" applyFont="1" applyFill="1" applyAlignment="1">
      <alignment horizontal="right"/>
    </xf>
    <xf numFmtId="167" fontId="21" fillId="0" borderId="0" xfId="34" applyNumberFormat="1" applyFont="1" applyFill="1" applyAlignment="1">
      <alignment horizontal="right"/>
    </xf>
    <xf numFmtId="167" fontId="23" fillId="0" borderId="0" xfId="34" applyNumberFormat="1" applyFont="1" applyFill="1" applyAlignment="1">
      <alignment horizontal="right"/>
    </xf>
    <xf numFmtId="2" fontId="21" fillId="0" borderId="0" xfId="34" applyNumberFormat="1" applyFont="1" applyFill="1" applyAlignment="1">
      <alignment horizontal="right"/>
    </xf>
    <xf numFmtId="0" fontId="24" fillId="0" borderId="0" xfId="36" applyFont="1"/>
    <xf numFmtId="0" fontId="17" fillId="0" borderId="0" xfId="43" applyFont="1"/>
    <xf numFmtId="0" fontId="19" fillId="33" borderId="0" xfId="43" applyFont="1" applyFill="1" applyAlignment="1">
      <alignment vertical="center"/>
    </xf>
    <xf numFmtId="0" fontId="29" fillId="33" borderId="0" xfId="43" applyFont="1" applyFill="1" applyAlignment="1">
      <alignment vertical="center" wrapText="1"/>
    </xf>
    <xf numFmtId="0" fontId="29" fillId="0" borderId="1" xfId="43" applyFont="1" applyBorder="1" applyAlignment="1">
      <alignment horizontal="center" vertical="center"/>
    </xf>
    <xf numFmtId="10" fontId="29" fillId="0" borderId="1" xfId="44" applyNumberFormat="1" applyFont="1" applyFill="1" applyBorder="1" applyAlignment="1">
      <alignment horizontal="center"/>
    </xf>
    <xf numFmtId="10" fontId="30" fillId="0" borderId="1" xfId="44" applyNumberFormat="1" applyFont="1" applyFill="1" applyBorder="1" applyAlignment="1">
      <alignment horizontal="center"/>
    </xf>
    <xf numFmtId="0" fontId="20" fillId="0" borderId="0" xfId="43" applyFont="1"/>
    <xf numFmtId="0" fontId="29" fillId="33" borderId="0" xfId="43" applyFont="1" applyFill="1" applyAlignment="1">
      <alignment horizontal="centerContinuous"/>
    </xf>
    <xf numFmtId="4" fontId="31" fillId="0" borderId="0" xfId="33" applyNumberFormat="1" applyFont="1" applyFill="1" applyBorder="1" applyAlignment="1">
      <alignment horizontal="right"/>
    </xf>
    <xf numFmtId="0" fontId="17" fillId="33" borderId="0" xfId="43" applyFont="1" applyFill="1"/>
    <xf numFmtId="4" fontId="31" fillId="33" borderId="0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justify"/>
    </xf>
    <xf numFmtId="4" fontId="31" fillId="0" borderId="0" xfId="33" applyNumberFormat="1" applyFont="1" applyFill="1" applyBorder="1" applyAlignment="1">
      <alignment horizontal="right" vertical="center"/>
    </xf>
    <xf numFmtId="0" fontId="17" fillId="33" borderId="2" xfId="43" applyFont="1" applyFill="1" applyBorder="1"/>
    <xf numFmtId="4" fontId="31" fillId="33" borderId="2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center"/>
    </xf>
    <xf numFmtId="4" fontId="31" fillId="0" borderId="0" xfId="33" applyNumberFormat="1" applyFont="1" applyFill="1" applyBorder="1" applyAlignment="1" applyProtection="1">
      <alignment horizontal="right"/>
    </xf>
    <xf numFmtId="4" fontId="31" fillId="33" borderId="2" xfId="33" applyNumberFormat="1" applyFont="1" applyFill="1" applyBorder="1" applyAlignment="1">
      <alignment horizontal="right" vertical="center"/>
    </xf>
    <xf numFmtId="0" fontId="17" fillId="0" borderId="2" xfId="43" applyFont="1" applyBorder="1"/>
    <xf numFmtId="4" fontId="31" fillId="0" borderId="2" xfId="33" applyNumberFormat="1" applyFont="1" applyFill="1" applyBorder="1" applyAlignment="1">
      <alignment horizontal="right"/>
    </xf>
    <xf numFmtId="0" fontId="23" fillId="0" borderId="0" xfId="43" applyFont="1"/>
    <xf numFmtId="10" fontId="17" fillId="0" borderId="0" xfId="45" applyNumberFormat="1" applyFont="1" applyFill="1" applyAlignment="1">
      <alignment horizontal="right"/>
    </xf>
    <xf numFmtId="10" fontId="29" fillId="0" borderId="0" xfId="45" applyNumberFormat="1" applyFont="1" applyFill="1" applyAlignment="1">
      <alignment horizontal="right"/>
    </xf>
    <xf numFmtId="0" fontId="23" fillId="0" borderId="0" xfId="43" applyFont="1" applyAlignment="1">
      <alignment vertical="center"/>
    </xf>
    <xf numFmtId="0" fontId="23" fillId="0" borderId="0" xfId="43" applyFont="1" applyAlignment="1">
      <alignment horizontal="left"/>
    </xf>
    <xf numFmtId="0" fontId="24" fillId="0" borderId="0" xfId="43" applyFont="1"/>
    <xf numFmtId="10" fontId="24" fillId="0" borderId="0" xfId="45" applyNumberFormat="1" applyFont="1" applyAlignment="1">
      <alignment horizontal="right"/>
    </xf>
    <xf numFmtId="0" fontId="22" fillId="0" borderId="0" xfId="43" applyFont="1"/>
    <xf numFmtId="10" fontId="29" fillId="0" borderId="1" xfId="45" applyNumberFormat="1" applyFont="1" applyFill="1" applyBorder="1" applyAlignment="1">
      <alignment horizontal="center"/>
    </xf>
    <xf numFmtId="10" fontId="30" fillId="0" borderId="1" xfId="45" applyNumberFormat="1" applyFont="1" applyFill="1" applyBorder="1" applyAlignment="1">
      <alignment horizontal="center"/>
    </xf>
    <xf numFmtId="4" fontId="24" fillId="0" borderId="0" xfId="33" applyNumberFormat="1" applyFont="1" applyFill="1" applyBorder="1" applyAlignment="1">
      <alignment horizontal="right"/>
    </xf>
    <xf numFmtId="167" fontId="24" fillId="33" borderId="0" xfId="33" applyNumberFormat="1" applyFont="1" applyFill="1" applyBorder="1" applyAlignment="1">
      <alignment horizontal="center" vertical="center"/>
    </xf>
    <xf numFmtId="0" fontId="24" fillId="3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1" fillId="33" borderId="0" xfId="33" applyNumberFormat="1" applyFont="1" applyFill="1" applyBorder="1" applyAlignment="1" applyProtection="1">
      <alignment horizontal="center" vertical="center"/>
    </xf>
    <xf numFmtId="0" fontId="31" fillId="0" borderId="0" xfId="33" applyNumberFormat="1" applyFont="1" applyFill="1" applyBorder="1" applyAlignment="1" applyProtection="1">
      <alignment horizontal="center" vertical="center"/>
    </xf>
    <xf numFmtId="0" fontId="31" fillId="0" borderId="0" xfId="33" applyNumberFormat="1" applyFont="1" applyFill="1" applyBorder="1" applyAlignment="1">
      <alignment horizontal="center" vertical="center"/>
    </xf>
    <xf numFmtId="0" fontId="31" fillId="33" borderId="0" xfId="33" applyNumberFormat="1" applyFont="1" applyFill="1" applyBorder="1" applyAlignment="1">
      <alignment horizontal="center" vertical="center"/>
    </xf>
    <xf numFmtId="2" fontId="31" fillId="33" borderId="0" xfId="33" applyNumberFormat="1" applyFont="1" applyFill="1" applyBorder="1" applyAlignment="1" applyProtection="1">
      <alignment horizontal="right" vertical="justify"/>
    </xf>
    <xf numFmtId="4" fontId="31" fillId="33" borderId="2" xfId="33" applyNumberFormat="1" applyFont="1" applyFill="1" applyBorder="1" applyAlignment="1">
      <alignment horizontal="right" vertical="justify"/>
    </xf>
    <xf numFmtId="0" fontId="24" fillId="33" borderId="0" xfId="34" applyNumberFormat="1" applyFont="1" applyFill="1" applyBorder="1" applyAlignment="1">
      <alignment horizontal="right" vertical="center"/>
    </xf>
    <xf numFmtId="4" fontId="24" fillId="33" borderId="0" xfId="34" applyNumberFormat="1" applyFont="1" applyFill="1" applyBorder="1" applyAlignment="1">
      <alignment horizontal="right"/>
    </xf>
    <xf numFmtId="4" fontId="24" fillId="33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/>
    </xf>
    <xf numFmtId="4" fontId="24" fillId="0" borderId="2" xfId="34" applyNumberFormat="1" applyFont="1" applyFill="1" applyBorder="1" applyAlignment="1">
      <alignment horizontal="right"/>
    </xf>
    <xf numFmtId="4" fontId="24" fillId="0" borderId="0" xfId="34" applyNumberFormat="1" applyFont="1" applyFill="1" applyBorder="1" applyAlignment="1">
      <alignment horizontal="right" vertical="justify"/>
    </xf>
    <xf numFmtId="4" fontId="24" fillId="33" borderId="0" xfId="0" applyNumberFormat="1" applyFont="1" applyFill="1" applyAlignment="1">
      <alignment horizontal="right"/>
    </xf>
    <xf numFmtId="4" fontId="24" fillId="0" borderId="0" xfId="0" applyNumberFormat="1" applyFont="1" applyAlignment="1">
      <alignment horizontal="right"/>
    </xf>
    <xf numFmtId="4" fontId="24" fillId="33" borderId="0" xfId="0" applyNumberFormat="1" applyFont="1" applyFill="1" applyAlignment="1">
      <alignment horizontal="right" vertical="center"/>
    </xf>
    <xf numFmtId="4" fontId="24" fillId="0" borderId="0" xfId="0" applyNumberFormat="1" applyFont="1" applyAlignment="1">
      <alignment horizontal="right" vertical="center"/>
    </xf>
    <xf numFmtId="0" fontId="20" fillId="0" borderId="0" xfId="36" applyFont="1" applyAlignment="1">
      <alignment horizontal="right"/>
    </xf>
    <xf numFmtId="3" fontId="24" fillId="0" borderId="2" xfId="34" applyNumberFormat="1" applyFont="1" applyFill="1" applyBorder="1" applyAlignment="1">
      <alignment horizontal="center" vertical="center"/>
    </xf>
    <xf numFmtId="3" fontId="24" fillId="0" borderId="2" xfId="34" applyNumberFormat="1" applyFont="1" applyFill="1" applyBorder="1" applyAlignment="1">
      <alignment horizontal="right" vertical="center"/>
    </xf>
    <xf numFmtId="3" fontId="24" fillId="33" borderId="0" xfId="0" applyNumberFormat="1" applyFont="1" applyFill="1" applyAlignment="1">
      <alignment horizontal="center" vertical="center"/>
    </xf>
    <xf numFmtId="0" fontId="17" fillId="33" borderId="0" xfId="0" applyFont="1" applyFill="1"/>
    <xf numFmtId="0" fontId="17" fillId="33" borderId="2" xfId="0" applyFont="1" applyFill="1" applyBorder="1"/>
    <xf numFmtId="0" fontId="29" fillId="33" borderId="0" xfId="0" applyFont="1" applyFill="1" applyAlignment="1">
      <alignment horizontal="centerContinuous"/>
    </xf>
    <xf numFmtId="0" fontId="17" fillId="0" borderId="2" xfId="0" applyFont="1" applyBorder="1"/>
    <xf numFmtId="0" fontId="17" fillId="0" borderId="0" xfId="36" applyFont="1"/>
    <xf numFmtId="0" fontId="24" fillId="0" borderId="0" xfId="34" applyNumberFormat="1" applyFont="1" applyFill="1" applyBorder="1" applyAlignment="1">
      <alignment horizontal="right"/>
    </xf>
    <xf numFmtId="0" fontId="20" fillId="31" borderId="0" xfId="36" applyFont="1" applyFill="1"/>
    <xf numFmtId="0" fontId="24" fillId="33" borderId="0" xfId="0" applyFont="1" applyFill="1" applyAlignment="1">
      <alignment horizontal="right" vertical="center"/>
    </xf>
    <xf numFmtId="3" fontId="24" fillId="33" borderId="0" xfId="34" applyNumberFormat="1" applyFont="1" applyFill="1" applyBorder="1" applyAlignment="1">
      <alignment horizontal="right" vertical="justify"/>
    </xf>
    <xf numFmtId="4" fontId="24" fillId="33" borderId="0" xfId="34" applyNumberFormat="1" applyFont="1" applyFill="1" applyBorder="1" applyAlignment="1">
      <alignment horizontal="right" vertical="justify"/>
    </xf>
    <xf numFmtId="3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31" fillId="33" borderId="2" xfId="33" applyNumberFormat="1" applyFont="1" applyFill="1" applyBorder="1" applyAlignment="1">
      <alignment horizontal="center" vertical="center"/>
    </xf>
    <xf numFmtId="4" fontId="24" fillId="0" borderId="2" xfId="34" applyNumberFormat="1" applyFont="1" applyFill="1" applyBorder="1" applyAlignment="1">
      <alignment horizontal="right" vertical="center"/>
    </xf>
    <xf numFmtId="3" fontId="24" fillId="0" borderId="0" xfId="34" applyNumberFormat="1" applyFont="1" applyFill="1" applyBorder="1" applyAlignment="1">
      <alignment horizontal="center" vertical="justify"/>
    </xf>
    <xf numFmtId="3" fontId="24" fillId="0" borderId="0" xfId="0" applyNumberFormat="1" applyFont="1" applyAlignment="1">
      <alignment horizontal="center"/>
    </xf>
    <xf numFmtId="3" fontId="24" fillId="33" borderId="0" xfId="0" applyNumberFormat="1" applyFont="1" applyFill="1" applyAlignment="1">
      <alignment horizontal="center"/>
    </xf>
    <xf numFmtId="3" fontId="24" fillId="0" borderId="0" xfId="0" applyNumberFormat="1" applyFont="1" applyAlignment="1">
      <alignment horizontal="right" vertical="center"/>
    </xf>
    <xf numFmtId="0" fontId="23" fillId="0" borderId="2" xfId="0" applyFont="1" applyBorder="1"/>
    <xf numFmtId="3" fontId="24" fillId="0" borderId="2" xfId="0" applyNumberFormat="1" applyFont="1" applyBorder="1" applyAlignment="1">
      <alignment horizontal="right"/>
    </xf>
    <xf numFmtId="4" fontId="24" fillId="0" borderId="2" xfId="0" applyNumberFormat="1" applyFont="1" applyBorder="1" applyAlignment="1">
      <alignment horizontal="right"/>
    </xf>
    <xf numFmtId="3" fontId="24" fillId="0" borderId="2" xfId="0" applyNumberFormat="1" applyFont="1" applyBorder="1" applyAlignment="1">
      <alignment horizontal="right" vertical="center"/>
    </xf>
    <xf numFmtId="4" fontId="24" fillId="0" borderId="2" xfId="0" applyNumberFormat="1" applyFont="1" applyBorder="1" applyAlignment="1">
      <alignment horizontal="right" vertical="center"/>
    </xf>
    <xf numFmtId="3" fontId="24" fillId="0" borderId="2" xfId="0" applyNumberFormat="1" applyFont="1" applyBorder="1" applyAlignment="1">
      <alignment horizontal="center"/>
    </xf>
    <xf numFmtId="0" fontId="24" fillId="0" borderId="2" xfId="0" applyFont="1" applyBorder="1" applyAlignment="1">
      <alignment horizontal="right" vertical="center"/>
    </xf>
    <xf numFmtId="4" fontId="24" fillId="0" borderId="0" xfId="0" applyNumberFormat="1" applyFont="1" applyAlignment="1">
      <alignment horizontal="center"/>
    </xf>
    <xf numFmtId="2" fontId="24" fillId="33" borderId="0" xfId="34" applyNumberFormat="1" applyFont="1" applyFill="1" applyBorder="1" applyAlignment="1">
      <alignment horizontal="center" vertical="center"/>
    </xf>
    <xf numFmtId="2" fontId="24" fillId="0" borderId="0" xfId="34" applyNumberFormat="1" applyFont="1" applyFill="1" applyBorder="1" applyAlignment="1">
      <alignment horizontal="center" vertical="center"/>
    </xf>
    <xf numFmtId="2" fontId="24" fillId="0" borderId="2" xfId="34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3" fontId="24" fillId="33" borderId="0" xfId="0" applyNumberFormat="1" applyFont="1" applyFill="1" applyAlignment="1">
      <alignment horizontal="right" vertical="center"/>
    </xf>
    <xf numFmtId="2" fontId="24" fillId="0" borderId="2" xfId="0" applyNumberFormat="1" applyFont="1" applyBorder="1" applyAlignment="1">
      <alignment horizontal="center" vertical="center"/>
    </xf>
    <xf numFmtId="0" fontId="21" fillId="33" borderId="3" xfId="0" applyFont="1" applyFill="1" applyBorder="1" applyAlignment="1">
      <alignment horizontal="centerContinuous"/>
    </xf>
    <xf numFmtId="4" fontId="21" fillId="33" borderId="3" xfId="0" applyNumberFormat="1" applyFont="1" applyFill="1" applyBorder="1" applyAlignment="1">
      <alignment horizontal="centerContinuous"/>
    </xf>
    <xf numFmtId="0" fontId="21" fillId="32" borderId="9" xfId="0" applyFont="1" applyFill="1" applyBorder="1" applyAlignment="1">
      <alignment horizontal="centerContinuous"/>
    </xf>
    <xf numFmtId="0" fontId="21" fillId="32" borderId="1" xfId="0" applyFont="1" applyFill="1" applyBorder="1" applyAlignment="1">
      <alignment horizontal="centerContinuous"/>
    </xf>
    <xf numFmtId="4" fontId="21" fillId="32" borderId="1" xfId="0" applyNumberFormat="1" applyFont="1" applyFill="1" applyBorder="1" applyAlignment="1">
      <alignment horizontal="centerContinuous"/>
    </xf>
    <xf numFmtId="4" fontId="31" fillId="33" borderId="2" xfId="33" applyNumberFormat="1" applyFont="1" applyFill="1" applyBorder="1" applyAlignment="1">
      <alignment horizontal="center" vertical="center"/>
    </xf>
    <xf numFmtId="4" fontId="31" fillId="33" borderId="0" xfId="33" applyNumberFormat="1" applyFont="1" applyFill="1" applyBorder="1" applyAlignment="1">
      <alignment horizontal="center" vertical="center"/>
    </xf>
    <xf numFmtId="0" fontId="27" fillId="32" borderId="0" xfId="0" applyFont="1" applyFill="1" applyAlignment="1">
      <alignment horizontal="center" vertical="center" wrapText="1"/>
    </xf>
    <xf numFmtId="0" fontId="25" fillId="31" borderId="0" xfId="0" applyFont="1" applyFill="1" applyAlignment="1">
      <alignment horizontal="center"/>
    </xf>
    <xf numFmtId="0" fontId="26" fillId="34" borderId="0" xfId="0" applyFont="1" applyFill="1" applyAlignment="1">
      <alignment horizontal="center" vertical="center" wrapText="1"/>
    </xf>
    <xf numFmtId="0" fontId="23" fillId="0" borderId="0" xfId="36" applyFont="1" applyAlignment="1">
      <alignment horizontal="left" vertical="center" wrapText="1"/>
    </xf>
    <xf numFmtId="0" fontId="23" fillId="0" borderId="0" xfId="36" applyFont="1" applyAlignment="1">
      <alignment horizontal="left" vertical="center"/>
    </xf>
    <xf numFmtId="0" fontId="18" fillId="34" borderId="0" xfId="0" applyFont="1" applyFill="1" applyAlignment="1">
      <alignment horizontal="center" vertical="center" wrapText="1"/>
    </xf>
    <xf numFmtId="167" fontId="22" fillId="0" borderId="1" xfId="33" applyNumberFormat="1" applyFont="1" applyFill="1" applyBorder="1" applyAlignment="1">
      <alignment horizontal="center"/>
    </xf>
    <xf numFmtId="167" fontId="21" fillId="0" borderId="1" xfId="33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34" borderId="0" xfId="43" applyFont="1" applyFill="1" applyAlignment="1">
      <alignment horizontal="center" vertical="center" wrapText="1"/>
    </xf>
    <xf numFmtId="2" fontId="24" fillId="33" borderId="0" xfId="0" applyNumberFormat="1" applyFont="1" applyFill="1" applyAlignment="1">
      <alignment horizontal="right" vertical="center"/>
    </xf>
    <xf numFmtId="2" fontId="24" fillId="0" borderId="0" xfId="0" applyNumberFormat="1" applyFont="1" applyAlignment="1">
      <alignment horizontal="right" vertical="center"/>
    </xf>
    <xf numFmtId="4" fontId="29" fillId="33" borderId="0" xfId="33" applyNumberFormat="1" applyFont="1" applyFill="1" applyBorder="1" applyAlignment="1">
      <alignment horizontal="right"/>
    </xf>
    <xf numFmtId="0" fontId="31" fillId="0" borderId="0" xfId="33" applyNumberFormat="1" applyFont="1" applyFill="1" applyBorder="1" applyAlignment="1">
      <alignment horizontal="right" vertical="center"/>
    </xf>
    <xf numFmtId="165" fontId="31" fillId="0" borderId="0" xfId="33" applyFont="1" applyFill="1" applyBorder="1" applyAlignment="1">
      <alignment horizontal="right" vertical="center"/>
    </xf>
    <xf numFmtId="4" fontId="31" fillId="0" borderId="0" xfId="33" applyNumberFormat="1" applyFont="1" applyFill="1" applyBorder="1" applyAlignment="1">
      <alignment horizontal="center" vertical="center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2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1C000000}"/>
    <cellStyle name="Euro 2" xfId="30" xr:uid="{00000000-0005-0000-0000-00001D000000}"/>
    <cellStyle name="Hipervínculo" xfId="31" builtinId="8"/>
    <cellStyle name="Incorrecto" xfId="32" builtinId="27" customBuiltin="1"/>
    <cellStyle name="Millares" xfId="33" builtinId="3"/>
    <cellStyle name="Millares 2" xfId="34" xr:uid="{00000000-0005-0000-0000-000021000000}"/>
    <cellStyle name="Neutral" xfId="35" builtinId="28" customBuiltin="1"/>
    <cellStyle name="Normal" xfId="0" builtinId="0"/>
    <cellStyle name="Normal 2" xfId="36" xr:uid="{00000000-0005-0000-0000-000024000000}"/>
    <cellStyle name="Normal 3" xfId="43" xr:uid="{674C42A4-B064-4353-9D04-968834AD136F}"/>
    <cellStyle name="Notas 2" xfId="37" xr:uid="{00000000-0005-0000-0000-000025000000}"/>
    <cellStyle name="Porcentaje 2" xfId="38" xr:uid="{00000000-0005-0000-0000-000026000000}"/>
    <cellStyle name="Porcentaje 2 2" xfId="45" xr:uid="{D14C4C04-AF22-4D25-B65E-B19B91AE0366}"/>
    <cellStyle name="Porcentaje 3" xfId="39" xr:uid="{00000000-0005-0000-0000-000027000000}"/>
    <cellStyle name="Porcentaje 4" xfId="44" xr:uid="{CF6C299B-C562-4F38-84BF-B1724B9C16BA}"/>
    <cellStyle name="Salida 2" xfId="40" xr:uid="{00000000-0005-0000-0000-000029000000}"/>
    <cellStyle name="Título" xfId="41" builtinId="15" customBuiltin="1"/>
    <cellStyle name="Total" xfId="4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117923</xdr:colOff>
      <xdr:row>0</xdr:row>
      <xdr:rowOff>117922</xdr:rowOff>
    </xdr:from>
    <xdr:to>
      <xdr:col>11</xdr:col>
      <xdr:colOff>794799</xdr:colOff>
      <xdr:row>3</xdr:row>
      <xdr:rowOff>226786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CEEC6EB7-7ADB-436F-8C3F-FADB2ADDD33C}"/>
            </a:ext>
          </a:extLst>
        </xdr:cNvPr>
        <xdr:cNvGrpSpPr>
          <a:grpSpLocks noChangeAspect="1"/>
        </xdr:cNvGrpSpPr>
      </xdr:nvGrpSpPr>
      <xdr:grpSpPr>
        <a:xfrm>
          <a:off x="117923" y="117922"/>
          <a:ext cx="9276590" cy="952507"/>
          <a:chOff x="0" y="266700"/>
          <a:chExt cx="7123723" cy="730250"/>
        </a:xfrm>
      </xdr:grpSpPr>
      <xdr:pic>
        <xdr:nvPicPr>
          <xdr:cNvPr id="7" name="Imagen 12">
            <a:extLst>
              <a:ext uri="{FF2B5EF4-FFF2-40B4-BE49-F238E27FC236}">
                <a16:creationId xmlns:a16="http://schemas.microsoft.com/office/drawing/2014/main" id="{EC5C623D-E846-7844-B31F-7ED4E0C818E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0" y="958850"/>
            <a:ext cx="7123723" cy="381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8" name="Grupo 2">
            <a:extLst>
              <a:ext uri="{FF2B5EF4-FFF2-40B4-BE49-F238E27FC236}">
                <a16:creationId xmlns:a16="http://schemas.microsoft.com/office/drawing/2014/main" id="{F8178EC5-9CAC-6CAF-6EA6-F5870B77C91C}"/>
              </a:ext>
            </a:extLst>
          </xdr:cNvPr>
          <xdr:cNvGrpSpPr>
            <a:grpSpLocks/>
          </xdr:cNvGrpSpPr>
        </xdr:nvGrpSpPr>
        <xdr:grpSpPr bwMode="auto">
          <a:xfrm>
            <a:off x="298450" y="266700"/>
            <a:ext cx="6505819" cy="450850"/>
            <a:chOff x="288407" y="266700"/>
            <a:chExt cx="6183074" cy="447675"/>
          </a:xfrm>
        </xdr:grpSpPr>
        <xdr:pic>
          <xdr:nvPicPr>
            <xdr:cNvPr id="9" name="Imagen 17">
              <a:extLst>
                <a:ext uri="{FF2B5EF4-FFF2-40B4-BE49-F238E27FC236}">
                  <a16:creationId xmlns:a16="http://schemas.microsoft.com/office/drawing/2014/main" id="{6C708EB2-DBDC-7983-BB8E-AA47F03ADFF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88407" y="266700"/>
              <a:ext cx="1286422" cy="4476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Imagen 17">
              <a:extLst>
                <a:ext uri="{FF2B5EF4-FFF2-40B4-BE49-F238E27FC236}">
                  <a16:creationId xmlns:a16="http://schemas.microsoft.com/office/drawing/2014/main" id="{7E4BEB52-017D-46F1-C03B-5F47D8FEBF3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944941" y="349685"/>
              <a:ext cx="1526540" cy="33904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500707</xdr:colOff>
      <xdr:row>0</xdr:row>
      <xdr:rowOff>104588</xdr:rowOff>
    </xdr:from>
    <xdr:to>
      <xdr:col>15</xdr:col>
      <xdr:colOff>463656</xdr:colOff>
      <xdr:row>2</xdr:row>
      <xdr:rowOff>87540</xdr:rowOff>
    </xdr:to>
    <xdr:grpSp>
      <xdr:nvGrpSpPr>
        <xdr:cNvPr id="10" name="Grupo 2">
          <a:extLst>
            <a:ext uri="{FF2B5EF4-FFF2-40B4-BE49-F238E27FC236}">
              <a16:creationId xmlns:a16="http://schemas.microsoft.com/office/drawing/2014/main" id="{1021EF70-7003-007D-7BA1-87F939C793D9}"/>
            </a:ext>
          </a:extLst>
        </xdr:cNvPr>
        <xdr:cNvGrpSpPr>
          <a:grpSpLocks/>
        </xdr:cNvGrpSpPr>
      </xdr:nvGrpSpPr>
      <xdr:grpSpPr bwMode="auto">
        <a:xfrm>
          <a:off x="500707" y="104588"/>
          <a:ext cx="8471949" cy="588070"/>
          <a:chOff x="288407" y="266700"/>
          <a:chExt cx="6183074" cy="447675"/>
        </a:xfrm>
      </xdr:grpSpPr>
      <xdr:pic>
        <xdr:nvPicPr>
          <xdr:cNvPr id="11" name="Imagen 17">
            <a:extLst>
              <a:ext uri="{FF2B5EF4-FFF2-40B4-BE49-F238E27FC236}">
                <a16:creationId xmlns:a16="http://schemas.microsoft.com/office/drawing/2014/main" id="{1C937E0F-64E9-2D24-660F-9C3D5B9E035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6700"/>
            <a:ext cx="128642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" name="Imagen 17">
            <a:extLst>
              <a:ext uri="{FF2B5EF4-FFF2-40B4-BE49-F238E27FC236}">
                <a16:creationId xmlns:a16="http://schemas.microsoft.com/office/drawing/2014/main" id="{0C339337-463A-FBA5-9942-8D1C7714A83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4941" y="349685"/>
            <a:ext cx="1526540" cy="33904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0</xdr:row>
      <xdr:rowOff>38100</xdr:rowOff>
    </xdr:from>
    <xdr:to>
      <xdr:col>8</xdr:col>
      <xdr:colOff>368300</xdr:colOff>
      <xdr:row>2</xdr:row>
      <xdr:rowOff>199487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33E7A293-BC0B-4ED0-8546-0DEBF4682A2F}"/>
            </a:ext>
          </a:extLst>
        </xdr:cNvPr>
        <xdr:cNvGrpSpPr>
          <a:grpSpLocks noChangeAspect="1"/>
        </xdr:cNvGrpSpPr>
      </xdr:nvGrpSpPr>
      <xdr:grpSpPr>
        <a:xfrm>
          <a:off x="88900" y="38100"/>
          <a:ext cx="7385050" cy="758287"/>
          <a:chOff x="0" y="266700"/>
          <a:chExt cx="7123723" cy="730250"/>
        </a:xfrm>
      </xdr:grpSpPr>
      <xdr:pic>
        <xdr:nvPicPr>
          <xdr:cNvPr id="16" name="Imagen 12">
            <a:extLst>
              <a:ext uri="{FF2B5EF4-FFF2-40B4-BE49-F238E27FC236}">
                <a16:creationId xmlns:a16="http://schemas.microsoft.com/office/drawing/2014/main" id="{EA0DD57E-7193-3BEE-CB67-C81AA8F9707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0" y="958850"/>
            <a:ext cx="7123723" cy="381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17" name="Grupo 2">
            <a:extLst>
              <a:ext uri="{FF2B5EF4-FFF2-40B4-BE49-F238E27FC236}">
                <a16:creationId xmlns:a16="http://schemas.microsoft.com/office/drawing/2014/main" id="{46B72749-D285-92D3-F2C0-CFA78E681CE3}"/>
              </a:ext>
            </a:extLst>
          </xdr:cNvPr>
          <xdr:cNvGrpSpPr>
            <a:grpSpLocks/>
          </xdr:cNvGrpSpPr>
        </xdr:nvGrpSpPr>
        <xdr:grpSpPr bwMode="auto">
          <a:xfrm>
            <a:off x="298450" y="266700"/>
            <a:ext cx="6505819" cy="450850"/>
            <a:chOff x="288407" y="266700"/>
            <a:chExt cx="6183074" cy="447675"/>
          </a:xfrm>
        </xdr:grpSpPr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016C2388-C9C4-5B8B-4102-5001224A19AA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88407" y="266700"/>
              <a:ext cx="1286422" cy="4476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9" name="Imagen 17">
              <a:extLst>
                <a:ext uri="{FF2B5EF4-FFF2-40B4-BE49-F238E27FC236}">
                  <a16:creationId xmlns:a16="http://schemas.microsoft.com/office/drawing/2014/main" id="{115F2CE1-17A8-8D24-3038-181DAF7E033E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944941" y="349685"/>
              <a:ext cx="1526540" cy="33904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76200</xdr:rowOff>
    </xdr:from>
    <xdr:to>
      <xdr:col>8</xdr:col>
      <xdr:colOff>387350</xdr:colOff>
      <xdr:row>2</xdr:row>
      <xdr:rowOff>237587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5B455CDB-D2F6-4F18-BDE1-2532F17BA7AA}"/>
            </a:ext>
          </a:extLst>
        </xdr:cNvPr>
        <xdr:cNvGrpSpPr>
          <a:grpSpLocks noChangeAspect="1"/>
        </xdr:cNvGrpSpPr>
      </xdr:nvGrpSpPr>
      <xdr:grpSpPr>
        <a:xfrm>
          <a:off x="107950" y="76200"/>
          <a:ext cx="7385050" cy="758287"/>
          <a:chOff x="0" y="266700"/>
          <a:chExt cx="7123723" cy="730250"/>
        </a:xfrm>
      </xdr:grpSpPr>
      <xdr:pic>
        <xdr:nvPicPr>
          <xdr:cNvPr id="7" name="Imagen 12">
            <a:extLst>
              <a:ext uri="{FF2B5EF4-FFF2-40B4-BE49-F238E27FC236}">
                <a16:creationId xmlns:a16="http://schemas.microsoft.com/office/drawing/2014/main" id="{D586A040-2928-89F1-707A-592DD360459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0" y="958850"/>
            <a:ext cx="7123723" cy="381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8" name="Grupo 2">
            <a:extLst>
              <a:ext uri="{FF2B5EF4-FFF2-40B4-BE49-F238E27FC236}">
                <a16:creationId xmlns:a16="http://schemas.microsoft.com/office/drawing/2014/main" id="{2E16A003-F81F-F962-DF86-630EA1F81D68}"/>
              </a:ext>
            </a:extLst>
          </xdr:cNvPr>
          <xdr:cNvGrpSpPr>
            <a:grpSpLocks/>
          </xdr:cNvGrpSpPr>
        </xdr:nvGrpSpPr>
        <xdr:grpSpPr bwMode="auto">
          <a:xfrm>
            <a:off x="298450" y="266700"/>
            <a:ext cx="6505819" cy="450850"/>
            <a:chOff x="288407" y="266700"/>
            <a:chExt cx="6183074" cy="447675"/>
          </a:xfrm>
        </xdr:grpSpPr>
        <xdr:pic>
          <xdr:nvPicPr>
            <xdr:cNvPr id="9" name="Imagen 17">
              <a:extLst>
                <a:ext uri="{FF2B5EF4-FFF2-40B4-BE49-F238E27FC236}">
                  <a16:creationId xmlns:a16="http://schemas.microsoft.com/office/drawing/2014/main" id="{9E50893B-FE6C-939B-63E0-8D151A00DFC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88407" y="266700"/>
              <a:ext cx="1286422" cy="4476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Imagen 17">
              <a:extLst>
                <a:ext uri="{FF2B5EF4-FFF2-40B4-BE49-F238E27FC236}">
                  <a16:creationId xmlns:a16="http://schemas.microsoft.com/office/drawing/2014/main" id="{B1104D91-35E8-6668-7F2A-C5504ED7EC5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944941" y="349685"/>
              <a:ext cx="1526540" cy="33904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9"/>
  <sheetViews>
    <sheetView showGridLines="0" tabSelected="1" zoomScale="70" zoomScaleNormal="70" workbookViewId="0">
      <selection activeCell="A7" sqref="A7:L9"/>
    </sheetView>
  </sheetViews>
  <sheetFormatPr baseColWidth="10" defaultColWidth="11.453125" defaultRowHeight="16" x14ac:dyDescent="0.45"/>
  <cols>
    <col min="1" max="1" width="6.26953125" style="14" customWidth="1"/>
    <col min="2" max="2" width="11.453125" style="9"/>
    <col min="3" max="3" width="14" style="9" customWidth="1"/>
    <col min="4" max="16384" width="11.453125" style="9"/>
  </cols>
  <sheetData>
    <row r="1" spans="1:14" ht="22" customHeight="1" x14ac:dyDescent="0.45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</row>
    <row r="2" spans="1:14" ht="22" customHeight="1" x14ac:dyDescent="0.45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</row>
    <row r="3" spans="1:14" ht="22" customHeight="1" x14ac:dyDescent="0.4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N3" s="4"/>
    </row>
    <row r="4" spans="1:14" ht="22" customHeight="1" x14ac:dyDescent="0.45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</row>
    <row r="5" spans="1:14" ht="36" customHeight="1" x14ac:dyDescent="0.45">
      <c r="A5" s="147" t="s">
        <v>48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</row>
    <row r="6" spans="1:14" ht="31.5" customHeight="1" x14ac:dyDescent="0.45">
      <c r="A6" s="147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</row>
    <row r="7" spans="1:14" x14ac:dyDescent="0.45">
      <c r="A7" s="145" t="s">
        <v>85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</row>
    <row r="8" spans="1:14" ht="15" customHeight="1" x14ac:dyDescent="0.45">
      <c r="A8" s="145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</row>
    <row r="9" spans="1:14" x14ac:dyDescent="0.4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</row>
    <row r="10" spans="1:14" s="10" customFormat="1" ht="31.5" customHeight="1" x14ac:dyDescent="0.25">
      <c r="A10" s="19" t="str">
        <f>+"Anexo 1. "&amp;'Anexo 1'!A6&amp;" "&amp;'Anexo 1'!A7</f>
        <v>Anexo 1. Comportamiento de los precios mayoristas de los principales alimentos en las principales ocho ciudades. Variación mensual. Junio de 2023</v>
      </c>
    </row>
    <row r="11" spans="1:14" s="10" customFormat="1" ht="31.5" customHeight="1" x14ac:dyDescent="0.25">
      <c r="A11" s="19" t="str">
        <f>+"Anexo 2. "&amp;'Anexo 2'!A6&amp;" "&amp;'Anexo 2'!A7</f>
        <v>Anexo 2. Comportamiento de los precios mayoristas de los principales alimentos en las principales ocho ciudades. Variación año corrido. Junio de 2023</v>
      </c>
    </row>
    <row r="12" spans="1:14" s="10" customFormat="1" ht="31.5" customHeight="1" x14ac:dyDescent="0.25">
      <c r="A12" s="19" t="str">
        <f>+"Anexo 3. "&amp;'Anexo 3'!A6&amp;" "&amp;'Anexo 3'!A7</f>
        <v>Anexo 3. Comportamiento de los precios mayoristas de los principales alimentos en las principales ocho ciudades. Variación anual. Junio de 2023</v>
      </c>
    </row>
    <row r="13" spans="1:14" x14ac:dyDescent="0.4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4" ht="18.75" customHeight="1" x14ac:dyDescent="0.45">
      <c r="A14" s="13" t="s">
        <v>86</v>
      </c>
    </row>
    <row r="15" spans="1:14" s="4" customFormat="1" ht="30" customHeight="1" x14ac:dyDescent="0.45"/>
    <row r="16" spans="1:14" s="4" customFormat="1" ht="32.25" customHeight="1" x14ac:dyDescent="0.45"/>
    <row r="17" spans="1:1" s="4" customFormat="1" ht="34.5" customHeight="1" x14ac:dyDescent="0.45"/>
    <row r="18" spans="1:1" s="4" customFormat="1" x14ac:dyDescent="0.45"/>
    <row r="19" spans="1:1" x14ac:dyDescent="0.45">
      <c r="A19" s="9"/>
    </row>
  </sheetData>
  <mergeCells count="3">
    <mergeCell ref="A7:L9"/>
    <mergeCell ref="A1:L4"/>
    <mergeCell ref="A5:L6"/>
  </mergeCells>
  <phoneticPr fontId="3" type="noConversion"/>
  <hyperlinks>
    <hyperlink ref="A10" location="'Anexo 1'!A1" display="'Anexo 1'!A1" xr:uid="{00000000-0004-0000-0000-000000000000}"/>
    <hyperlink ref="A11" location="'Anexo 1'!A1" display="'Anexo 1'!A1" xr:uid="{549AA18A-F416-4462-A600-6B2E456340C2}"/>
    <hyperlink ref="A12" location="'Anexo 1'!A1" display="'Anexo 1'!A1" xr:uid="{0B4092F7-A9A7-4AEB-82ED-D56014BF70B6}"/>
  </hyperlink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9"/>
  <sheetViews>
    <sheetView showGridLines="0" topLeftCell="A58" zoomScale="85" zoomScaleNormal="85" workbookViewId="0">
      <selection activeCell="G55" sqref="G55"/>
    </sheetView>
  </sheetViews>
  <sheetFormatPr baseColWidth="10" defaultColWidth="11.453125" defaultRowHeight="16" x14ac:dyDescent="0.45"/>
  <cols>
    <col min="1" max="1" width="24.453125" style="4" customWidth="1"/>
    <col min="2" max="2" width="7.1796875" style="4" customWidth="1"/>
    <col min="3" max="3" width="6.7265625" style="18" customWidth="1"/>
    <col min="4" max="4" width="7.1796875" style="4" customWidth="1"/>
    <col min="5" max="5" width="6.7265625" style="18" customWidth="1"/>
    <col min="6" max="6" width="7.1796875" style="4" customWidth="1"/>
    <col min="7" max="7" width="6.7265625" style="18" customWidth="1"/>
    <col min="8" max="8" width="7.1796875" style="4" customWidth="1"/>
    <col min="9" max="9" width="6.7265625" style="18" customWidth="1"/>
    <col min="10" max="10" width="7.1796875" style="4" customWidth="1"/>
    <col min="11" max="11" width="6.7265625" style="18" customWidth="1"/>
    <col min="12" max="12" width="7.1796875" style="4" customWidth="1"/>
    <col min="13" max="13" width="6.7265625" style="18" customWidth="1"/>
    <col min="14" max="14" width="7.1796875" style="4" customWidth="1"/>
    <col min="15" max="15" width="6.7265625" style="18" customWidth="1"/>
    <col min="16" max="16" width="7.1796875" style="4" customWidth="1"/>
    <col min="17" max="17" width="6.7265625" style="18" customWidth="1"/>
    <col min="18" max="16384" width="11.453125" style="4"/>
  </cols>
  <sheetData>
    <row r="1" spans="1:17" s="1" customFormat="1" ht="14" x14ac:dyDescent="0.4">
      <c r="C1" s="16"/>
      <c r="E1" s="16"/>
      <c r="G1" s="16"/>
      <c r="I1" s="16"/>
      <c r="K1" s="16"/>
      <c r="M1" s="16"/>
      <c r="O1" s="16"/>
      <c r="Q1" s="16"/>
    </row>
    <row r="2" spans="1:17" s="1" customFormat="1" ht="33.75" customHeight="1" x14ac:dyDescent="0.4">
      <c r="C2" s="16"/>
      <c r="E2" s="16"/>
      <c r="G2" s="16"/>
      <c r="I2" s="16"/>
      <c r="K2" s="16"/>
      <c r="M2" s="16"/>
      <c r="O2" s="16"/>
      <c r="Q2" s="16"/>
    </row>
    <row r="3" spans="1:17" s="1" customFormat="1" ht="40.5" customHeight="1" x14ac:dyDescent="0.4">
      <c r="C3" s="16"/>
      <c r="E3" s="16"/>
      <c r="G3" s="16"/>
      <c r="I3" s="16"/>
      <c r="K3" s="16"/>
      <c r="M3" s="16"/>
      <c r="O3" s="16"/>
      <c r="Q3" s="16"/>
    </row>
    <row r="4" spans="1:17" s="1" customFormat="1" ht="18.75" customHeight="1" x14ac:dyDescent="0.4">
      <c r="A4" s="150" t="s">
        <v>0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</row>
    <row r="5" spans="1:17" s="1" customFormat="1" ht="24" customHeight="1" x14ac:dyDescent="0.4">
      <c r="A5" s="150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</row>
    <row r="6" spans="1:17" ht="18.75" customHeight="1" x14ac:dyDescent="0.45">
      <c r="A6" s="2" t="s">
        <v>16</v>
      </c>
      <c r="B6" s="3"/>
      <c r="C6" s="17"/>
      <c r="D6" s="3"/>
      <c r="E6" s="17"/>
      <c r="F6" s="3"/>
      <c r="G6" s="17"/>
      <c r="H6" s="3"/>
      <c r="I6" s="17"/>
      <c r="J6" s="3"/>
      <c r="K6" s="17"/>
      <c r="L6" s="3"/>
      <c r="M6" s="17"/>
      <c r="N6" s="3"/>
      <c r="O6" s="17"/>
      <c r="P6" s="3"/>
      <c r="Q6" s="17"/>
    </row>
    <row r="7" spans="1:17" ht="19.5" customHeight="1" x14ac:dyDescent="0.45">
      <c r="A7" s="2" t="s">
        <v>87</v>
      </c>
      <c r="B7" s="3"/>
      <c r="C7" s="17"/>
      <c r="D7" s="3"/>
      <c r="E7" s="17"/>
      <c r="F7" s="3"/>
      <c r="G7" s="17"/>
      <c r="H7" s="3"/>
      <c r="I7" s="17"/>
      <c r="J7" s="3"/>
      <c r="K7" s="17"/>
      <c r="L7" s="3"/>
      <c r="M7" s="17"/>
      <c r="N7" s="3"/>
      <c r="O7" s="17"/>
      <c r="P7" s="3"/>
      <c r="Q7" s="17"/>
    </row>
    <row r="8" spans="1:17" s="1" customFormat="1" ht="14" x14ac:dyDescent="0.4">
      <c r="C8" s="16"/>
      <c r="E8" s="16"/>
      <c r="G8" s="16"/>
      <c r="I8" s="16"/>
      <c r="K8" s="16"/>
      <c r="M8" s="16"/>
      <c r="O8" s="16"/>
      <c r="Q8" s="16"/>
    </row>
    <row r="9" spans="1:17" x14ac:dyDescent="0.45">
      <c r="A9" s="153" t="s">
        <v>1</v>
      </c>
      <c r="B9" s="152" t="s">
        <v>2</v>
      </c>
      <c r="C9" s="152"/>
      <c r="D9" s="152" t="s">
        <v>3</v>
      </c>
      <c r="E9" s="152"/>
      <c r="F9" s="152" t="s">
        <v>4</v>
      </c>
      <c r="G9" s="152"/>
      <c r="H9" s="151" t="s">
        <v>5</v>
      </c>
      <c r="I9" s="151"/>
      <c r="J9" s="152" t="s">
        <v>6</v>
      </c>
      <c r="K9" s="152"/>
      <c r="L9" s="152" t="s">
        <v>7</v>
      </c>
      <c r="M9" s="152"/>
      <c r="N9" s="152" t="s">
        <v>8</v>
      </c>
      <c r="O9" s="152"/>
      <c r="P9" s="152" t="s">
        <v>9</v>
      </c>
      <c r="Q9" s="152"/>
    </row>
    <row r="10" spans="1:17" x14ac:dyDescent="0.45">
      <c r="A10" s="154"/>
      <c r="B10" s="5" t="s">
        <v>10</v>
      </c>
      <c r="C10" s="20" t="s">
        <v>11</v>
      </c>
      <c r="D10" s="5" t="s">
        <v>10</v>
      </c>
      <c r="E10" s="20" t="s">
        <v>11</v>
      </c>
      <c r="F10" s="5" t="s">
        <v>10</v>
      </c>
      <c r="G10" s="20" t="s">
        <v>11</v>
      </c>
      <c r="H10" s="5" t="s">
        <v>10</v>
      </c>
      <c r="I10" s="20" t="s">
        <v>11</v>
      </c>
      <c r="J10" s="5" t="s">
        <v>10</v>
      </c>
      <c r="K10" s="20" t="s">
        <v>11</v>
      </c>
      <c r="L10" s="5" t="s">
        <v>10</v>
      </c>
      <c r="M10" s="20" t="s">
        <v>11</v>
      </c>
      <c r="N10" s="5" t="s">
        <v>10</v>
      </c>
      <c r="O10" s="20" t="s">
        <v>11</v>
      </c>
      <c r="P10" s="5" t="s">
        <v>10</v>
      </c>
      <c r="Q10" s="20" t="s">
        <v>11</v>
      </c>
    </row>
    <row r="11" spans="1:17" s="109" customFormat="1" ht="12" customHeight="1" x14ac:dyDescent="0.4">
      <c r="A11" s="138" t="s">
        <v>17</v>
      </c>
      <c r="B11" s="138"/>
      <c r="C11" s="139"/>
      <c r="D11" s="138"/>
      <c r="E11" s="139"/>
      <c r="F11" s="138"/>
      <c r="G11" s="139"/>
      <c r="H11" s="138"/>
      <c r="I11" s="139"/>
      <c r="J11" s="138"/>
      <c r="K11" s="139"/>
      <c r="L11" s="138"/>
      <c r="M11" s="139"/>
      <c r="N11" s="138"/>
      <c r="O11" s="139"/>
      <c r="P11" s="138"/>
      <c r="Q11" s="139"/>
    </row>
    <row r="12" spans="1:17" s="109" customFormat="1" ht="12" customHeight="1" x14ac:dyDescent="0.4">
      <c r="A12" s="21" t="s">
        <v>18</v>
      </c>
      <c r="B12" s="23">
        <v>698</v>
      </c>
      <c r="C12" s="90">
        <v>18.309999999999999</v>
      </c>
      <c r="D12" s="22">
        <v>1442</v>
      </c>
      <c r="E12" s="91">
        <v>2.93</v>
      </c>
      <c r="F12" s="22">
        <v>937</v>
      </c>
      <c r="G12" s="91">
        <v>2.85</v>
      </c>
      <c r="H12" s="28" t="s">
        <v>90</v>
      </c>
      <c r="I12" s="131" t="s">
        <v>91</v>
      </c>
      <c r="J12" s="22">
        <v>986</v>
      </c>
      <c r="K12" s="91">
        <v>-1.4</v>
      </c>
      <c r="L12" s="22">
        <v>1209</v>
      </c>
      <c r="M12" s="91">
        <v>20.78</v>
      </c>
      <c r="N12" s="22">
        <v>813</v>
      </c>
      <c r="O12" s="91">
        <v>-2.52</v>
      </c>
      <c r="P12" s="23">
        <v>1400</v>
      </c>
      <c r="Q12" s="92">
        <v>-3.58</v>
      </c>
    </row>
    <row r="13" spans="1:17" s="109" customFormat="1" ht="12" customHeight="1" x14ac:dyDescent="0.4">
      <c r="A13" s="24" t="s">
        <v>19</v>
      </c>
      <c r="B13" s="26">
        <v>9951</v>
      </c>
      <c r="C13" s="93">
        <v>-0.13</v>
      </c>
      <c r="D13" s="26">
        <v>7073</v>
      </c>
      <c r="E13" s="94">
        <v>5.87</v>
      </c>
      <c r="F13" s="26">
        <v>7378</v>
      </c>
      <c r="G13" s="94">
        <v>5.61</v>
      </c>
      <c r="H13" s="30" t="s">
        <v>90</v>
      </c>
      <c r="I13" s="132" t="s">
        <v>91</v>
      </c>
      <c r="J13" s="26">
        <v>6467</v>
      </c>
      <c r="K13" s="93">
        <v>21.2</v>
      </c>
      <c r="L13" s="26">
        <v>8282</v>
      </c>
      <c r="M13" s="94">
        <v>12.33</v>
      </c>
      <c r="N13" s="26">
        <v>4008</v>
      </c>
      <c r="O13" s="94">
        <v>-16.73</v>
      </c>
      <c r="P13" s="27">
        <v>5720</v>
      </c>
      <c r="Q13" s="93" t="s">
        <v>91</v>
      </c>
    </row>
    <row r="14" spans="1:17" s="109" customFormat="1" ht="12" customHeight="1" x14ac:dyDescent="0.4">
      <c r="A14" s="21" t="s">
        <v>20</v>
      </c>
      <c r="B14" s="113">
        <v>1475</v>
      </c>
      <c r="C14" s="114">
        <v>8.14</v>
      </c>
      <c r="D14" s="22">
        <v>1061</v>
      </c>
      <c r="E14" s="91">
        <v>5.15</v>
      </c>
      <c r="F14" s="22">
        <v>1230</v>
      </c>
      <c r="G14" s="91">
        <v>20.59</v>
      </c>
      <c r="H14" s="22">
        <v>1444</v>
      </c>
      <c r="I14" s="91">
        <v>13.7</v>
      </c>
      <c r="J14" s="113">
        <v>1484</v>
      </c>
      <c r="K14" s="114">
        <v>1.0900000000000001</v>
      </c>
      <c r="L14" s="22">
        <v>1177</v>
      </c>
      <c r="M14" s="91">
        <v>10</v>
      </c>
      <c r="N14" s="22">
        <v>1228</v>
      </c>
      <c r="O14" s="91">
        <v>6.69</v>
      </c>
      <c r="P14" s="22">
        <v>1346</v>
      </c>
      <c r="Q14" s="91">
        <v>8.1999999999999993</v>
      </c>
    </row>
    <row r="15" spans="1:17" s="109" customFormat="1" ht="12" customHeight="1" x14ac:dyDescent="0.4">
      <c r="A15" s="24" t="s">
        <v>21</v>
      </c>
      <c r="B15" s="26">
        <v>1905</v>
      </c>
      <c r="C15" s="94">
        <v>-24.49</v>
      </c>
      <c r="D15" s="26">
        <v>2644</v>
      </c>
      <c r="E15" s="94">
        <v>-5.87</v>
      </c>
      <c r="F15" s="26">
        <v>1374</v>
      </c>
      <c r="G15" s="94">
        <v>-36.68</v>
      </c>
      <c r="H15" s="27">
        <v>2409</v>
      </c>
      <c r="I15" s="39">
        <v>-23.01</v>
      </c>
      <c r="J15" s="26">
        <v>2545</v>
      </c>
      <c r="K15" s="94">
        <v>-12.63</v>
      </c>
      <c r="L15" s="26">
        <v>1062</v>
      </c>
      <c r="M15" s="94">
        <v>-40.93</v>
      </c>
      <c r="N15" s="26">
        <v>2185</v>
      </c>
      <c r="O15" s="94">
        <v>15.73</v>
      </c>
      <c r="P15" s="27">
        <v>2042</v>
      </c>
      <c r="Q15" s="93">
        <v>5.37</v>
      </c>
    </row>
    <row r="16" spans="1:17" s="109" customFormat="1" ht="12" customHeight="1" x14ac:dyDescent="0.4">
      <c r="A16" s="21" t="s">
        <v>22</v>
      </c>
      <c r="B16" s="28" t="s">
        <v>90</v>
      </c>
      <c r="C16" s="131" t="s">
        <v>91</v>
      </c>
      <c r="D16" s="22">
        <v>1576</v>
      </c>
      <c r="E16" s="91">
        <v>-45.56</v>
      </c>
      <c r="F16" s="22">
        <v>1266</v>
      </c>
      <c r="G16" s="91">
        <v>-15.37</v>
      </c>
      <c r="H16" s="22">
        <v>1697</v>
      </c>
      <c r="I16" s="91">
        <v>11.72</v>
      </c>
      <c r="J16" s="22">
        <v>1064</v>
      </c>
      <c r="K16" s="91">
        <v>8.68</v>
      </c>
      <c r="L16" s="22">
        <v>1865</v>
      </c>
      <c r="M16" s="91">
        <v>38.35</v>
      </c>
      <c r="N16" s="22">
        <v>1635</v>
      </c>
      <c r="O16" s="91">
        <v>-13.67</v>
      </c>
      <c r="P16" s="28" t="s">
        <v>90</v>
      </c>
      <c r="Q16" s="131" t="s">
        <v>91</v>
      </c>
    </row>
    <row r="17" spans="1:17" s="109" customFormat="1" ht="12" customHeight="1" x14ac:dyDescent="0.4">
      <c r="A17" s="24" t="s">
        <v>23</v>
      </c>
      <c r="B17" s="26">
        <v>3320</v>
      </c>
      <c r="C17" s="94">
        <v>43.85</v>
      </c>
      <c r="D17" s="26">
        <v>2129</v>
      </c>
      <c r="E17" s="94">
        <v>-32.65</v>
      </c>
      <c r="F17" s="26">
        <v>2900</v>
      </c>
      <c r="G17" s="94">
        <v>27.87</v>
      </c>
      <c r="H17" s="27">
        <v>3381</v>
      </c>
      <c r="I17" s="93">
        <v>40.58</v>
      </c>
      <c r="J17" s="26">
        <v>2947</v>
      </c>
      <c r="K17" s="94">
        <v>-2.06</v>
      </c>
      <c r="L17" s="26">
        <v>3584</v>
      </c>
      <c r="M17" s="94">
        <v>67.319999999999993</v>
      </c>
      <c r="N17" s="26">
        <v>1375</v>
      </c>
      <c r="O17" s="94">
        <v>7.09</v>
      </c>
      <c r="P17" s="27">
        <v>2981</v>
      </c>
      <c r="Q17" s="93">
        <v>2.76</v>
      </c>
    </row>
    <row r="18" spans="1:17" s="109" customFormat="1" ht="12" customHeight="1" x14ac:dyDescent="0.4">
      <c r="A18" s="21" t="s">
        <v>24</v>
      </c>
      <c r="B18" s="113">
        <v>2075</v>
      </c>
      <c r="C18" s="114">
        <v>-12.19</v>
      </c>
      <c r="D18" s="22">
        <v>1737</v>
      </c>
      <c r="E18" s="91">
        <v>-16.05</v>
      </c>
      <c r="F18" s="22">
        <v>1393</v>
      </c>
      <c r="G18" s="91">
        <v>-8.7200000000000006</v>
      </c>
      <c r="H18" s="22">
        <v>1803</v>
      </c>
      <c r="I18" s="91">
        <v>-3.27</v>
      </c>
      <c r="J18" s="113">
        <v>1283</v>
      </c>
      <c r="K18" s="114">
        <v>-12.06</v>
      </c>
      <c r="L18" s="22">
        <v>1606</v>
      </c>
      <c r="M18" s="91">
        <v>18.440000000000001</v>
      </c>
      <c r="N18" s="22">
        <v>1002</v>
      </c>
      <c r="O18" s="91">
        <v>1.42</v>
      </c>
      <c r="P18" s="22">
        <v>1889</v>
      </c>
      <c r="Q18" s="91">
        <v>-11.19</v>
      </c>
    </row>
    <row r="19" spans="1:17" s="109" customFormat="1" ht="12" customHeight="1" x14ac:dyDescent="0.4">
      <c r="A19" s="24" t="s">
        <v>25</v>
      </c>
      <c r="B19" s="26">
        <v>1186</v>
      </c>
      <c r="C19" s="94">
        <v>10.02</v>
      </c>
      <c r="D19" s="26">
        <v>1989</v>
      </c>
      <c r="E19" s="94">
        <v>12.18</v>
      </c>
      <c r="F19" s="26">
        <v>1031</v>
      </c>
      <c r="G19" s="94">
        <v>10.98</v>
      </c>
      <c r="H19" s="27">
        <v>1367</v>
      </c>
      <c r="I19" s="93">
        <v>9.6199999999999992</v>
      </c>
      <c r="J19" s="26">
        <v>1019</v>
      </c>
      <c r="K19" s="94">
        <v>51.64</v>
      </c>
      <c r="L19" s="26">
        <v>1387</v>
      </c>
      <c r="M19" s="94">
        <v>48.66</v>
      </c>
      <c r="N19" s="26">
        <v>1089</v>
      </c>
      <c r="O19" s="94">
        <v>-3.11</v>
      </c>
      <c r="P19" s="27">
        <v>1441</v>
      </c>
      <c r="Q19" s="93">
        <v>10.51</v>
      </c>
    </row>
    <row r="20" spans="1:17" s="109" customFormat="1" ht="12" customHeight="1" x14ac:dyDescent="0.4">
      <c r="A20" s="21" t="s">
        <v>26</v>
      </c>
      <c r="B20" s="22">
        <v>2220</v>
      </c>
      <c r="C20" s="91">
        <v>-16.190000000000001</v>
      </c>
      <c r="D20" s="22">
        <v>2992</v>
      </c>
      <c r="E20" s="91">
        <v>-22.65</v>
      </c>
      <c r="F20" s="22">
        <v>3725</v>
      </c>
      <c r="G20" s="91">
        <v>-21.78</v>
      </c>
      <c r="H20" s="22">
        <v>3619</v>
      </c>
      <c r="I20" s="91">
        <v>-8.2899999999999991</v>
      </c>
      <c r="J20" s="22">
        <v>2752</v>
      </c>
      <c r="K20" s="91">
        <v>-11.23</v>
      </c>
      <c r="L20" s="22">
        <v>3043</v>
      </c>
      <c r="M20" s="91">
        <v>-17.73</v>
      </c>
      <c r="N20" s="22">
        <v>2120</v>
      </c>
      <c r="O20" s="91">
        <v>-19.27</v>
      </c>
      <c r="P20" s="22">
        <v>3063</v>
      </c>
      <c r="Q20" s="91">
        <v>-9.91</v>
      </c>
    </row>
    <row r="21" spans="1:17" s="109" customFormat="1" ht="12" customHeight="1" x14ac:dyDescent="0.4">
      <c r="A21" s="24" t="s">
        <v>27</v>
      </c>
      <c r="B21" s="26">
        <v>1479</v>
      </c>
      <c r="C21" s="94">
        <v>-28.27</v>
      </c>
      <c r="D21" s="26">
        <v>1055</v>
      </c>
      <c r="E21" s="94">
        <v>-36.83</v>
      </c>
      <c r="F21" s="26">
        <v>1245</v>
      </c>
      <c r="G21" s="94">
        <v>-34.340000000000003</v>
      </c>
      <c r="H21" s="27">
        <v>1596</v>
      </c>
      <c r="I21" s="93">
        <v>-28.69</v>
      </c>
      <c r="J21" s="26">
        <v>1460</v>
      </c>
      <c r="K21" s="94">
        <v>-30.97</v>
      </c>
      <c r="L21" s="26">
        <v>1249</v>
      </c>
      <c r="M21" s="94">
        <v>-17.39</v>
      </c>
      <c r="N21" s="26">
        <v>771</v>
      </c>
      <c r="O21" s="94">
        <v>-52.64</v>
      </c>
      <c r="P21" s="27">
        <v>1846</v>
      </c>
      <c r="Q21" s="93">
        <v>-37.51</v>
      </c>
    </row>
    <row r="22" spans="1:17" s="109" customFormat="1" ht="12" customHeight="1" x14ac:dyDescent="0.4">
      <c r="A22" s="21" t="s">
        <v>28</v>
      </c>
      <c r="B22" s="22">
        <v>2172</v>
      </c>
      <c r="C22" s="91">
        <v>10.029999999999999</v>
      </c>
      <c r="D22" s="22">
        <v>2168</v>
      </c>
      <c r="E22" s="91">
        <v>8.89</v>
      </c>
      <c r="F22" s="22">
        <v>2006</v>
      </c>
      <c r="G22" s="91">
        <v>25.69</v>
      </c>
      <c r="H22" s="28" t="s">
        <v>90</v>
      </c>
      <c r="I22" s="131" t="s">
        <v>91</v>
      </c>
      <c r="J22" s="22">
        <v>2461</v>
      </c>
      <c r="K22" s="91">
        <v>-1.76</v>
      </c>
      <c r="L22" s="22">
        <v>1643</v>
      </c>
      <c r="M22" s="91">
        <v>7.04</v>
      </c>
      <c r="N22" s="22">
        <v>1947</v>
      </c>
      <c r="O22" s="91">
        <v>-7.46</v>
      </c>
      <c r="P22" s="23">
        <v>2337</v>
      </c>
      <c r="Q22" s="92">
        <v>-4.0999999999999996</v>
      </c>
    </row>
    <row r="23" spans="1:17" s="109" customFormat="1" ht="12" customHeight="1" x14ac:dyDescent="0.4">
      <c r="A23" s="32" t="s">
        <v>29</v>
      </c>
      <c r="B23" s="103">
        <v>2143</v>
      </c>
      <c r="C23" s="118">
        <v>-24.96</v>
      </c>
      <c r="D23" s="33">
        <v>1997</v>
      </c>
      <c r="E23" s="95">
        <v>-27.38</v>
      </c>
      <c r="F23" s="33">
        <v>1916</v>
      </c>
      <c r="G23" s="95">
        <v>-21.15</v>
      </c>
      <c r="H23" s="33">
        <v>2022</v>
      </c>
      <c r="I23" s="95">
        <v>-23.21</v>
      </c>
      <c r="J23" s="33">
        <v>2032</v>
      </c>
      <c r="K23" s="95">
        <v>-26.56</v>
      </c>
      <c r="L23" s="33">
        <v>1240</v>
      </c>
      <c r="M23" s="95">
        <v>-40.5</v>
      </c>
      <c r="N23" s="33">
        <v>813</v>
      </c>
      <c r="O23" s="95">
        <v>-27.99</v>
      </c>
      <c r="P23" s="33">
        <v>1945</v>
      </c>
      <c r="Q23" s="95">
        <v>-20.9</v>
      </c>
    </row>
    <row r="24" spans="1:17" s="109" customFormat="1" ht="12" customHeight="1" x14ac:dyDescent="0.4">
      <c r="A24" s="140" t="s">
        <v>30</v>
      </c>
      <c r="B24" s="141"/>
      <c r="C24" s="142"/>
      <c r="D24" s="141"/>
      <c r="E24" s="142"/>
      <c r="F24" s="141"/>
      <c r="G24" s="142"/>
      <c r="H24" s="141"/>
      <c r="I24" s="142"/>
      <c r="J24" s="141"/>
      <c r="K24" s="142"/>
      <c r="L24" s="141"/>
      <c r="M24" s="142"/>
      <c r="N24" s="141"/>
      <c r="O24" s="142"/>
      <c r="P24" s="141"/>
      <c r="Q24" s="142"/>
    </row>
    <row r="25" spans="1:17" s="109" customFormat="1" ht="12" customHeight="1" x14ac:dyDescent="0.4">
      <c r="A25" s="24" t="s">
        <v>49</v>
      </c>
      <c r="B25" s="119" t="s">
        <v>90</v>
      </c>
      <c r="C25" s="132" t="s">
        <v>91</v>
      </c>
      <c r="D25" s="26">
        <v>6629</v>
      </c>
      <c r="E25" s="94">
        <v>-22.86</v>
      </c>
      <c r="F25" s="26">
        <v>6382</v>
      </c>
      <c r="G25" s="31">
        <v>-19.12</v>
      </c>
      <c r="H25" s="30">
        <v>6576</v>
      </c>
      <c r="I25" s="132" t="s">
        <v>91</v>
      </c>
      <c r="J25" s="29">
        <v>5677</v>
      </c>
      <c r="K25" s="93">
        <v>-17.239999999999998</v>
      </c>
      <c r="L25" s="26" t="s">
        <v>90</v>
      </c>
      <c r="M25" s="39" t="s">
        <v>91</v>
      </c>
      <c r="N25" s="26">
        <v>4986</v>
      </c>
      <c r="O25" s="94">
        <v>-30.37</v>
      </c>
      <c r="P25" s="27">
        <v>5559</v>
      </c>
      <c r="Q25" s="93">
        <v>-24.57</v>
      </c>
    </row>
    <row r="26" spans="1:17" s="109" customFormat="1" ht="12" customHeight="1" x14ac:dyDescent="0.4">
      <c r="A26" s="21" t="s">
        <v>31</v>
      </c>
      <c r="B26" s="22">
        <v>1740</v>
      </c>
      <c r="C26" s="91">
        <v>3.57</v>
      </c>
      <c r="D26" s="22">
        <v>2334</v>
      </c>
      <c r="E26" s="91">
        <v>-2.83</v>
      </c>
      <c r="F26" s="22">
        <v>1795</v>
      </c>
      <c r="G26" s="91">
        <v>0.79</v>
      </c>
      <c r="H26" s="28" t="s">
        <v>90</v>
      </c>
      <c r="I26" s="131" t="s">
        <v>91</v>
      </c>
      <c r="J26" s="22">
        <v>1665</v>
      </c>
      <c r="K26" s="91">
        <v>0.3</v>
      </c>
      <c r="L26" s="22">
        <v>2206</v>
      </c>
      <c r="M26" s="91">
        <v>-12.18</v>
      </c>
      <c r="N26" s="22">
        <v>1709</v>
      </c>
      <c r="O26" s="91">
        <v>1.61</v>
      </c>
      <c r="P26" s="23">
        <v>1456</v>
      </c>
      <c r="Q26" s="92">
        <v>-2.48</v>
      </c>
    </row>
    <row r="27" spans="1:17" s="109" customFormat="1" ht="12" customHeight="1" x14ac:dyDescent="0.4">
      <c r="A27" s="24" t="s">
        <v>32</v>
      </c>
      <c r="B27" s="26">
        <v>3515</v>
      </c>
      <c r="C27" s="94">
        <v>-9.59</v>
      </c>
      <c r="D27" s="26">
        <v>5000</v>
      </c>
      <c r="E27" s="94">
        <v>0.32</v>
      </c>
      <c r="F27" s="30" t="s">
        <v>90</v>
      </c>
      <c r="G27" s="132" t="s">
        <v>91</v>
      </c>
      <c r="H27" s="26">
        <v>4183</v>
      </c>
      <c r="I27" s="94">
        <v>-7.17</v>
      </c>
      <c r="J27" s="26">
        <v>3696</v>
      </c>
      <c r="K27" s="94">
        <v>-4.72</v>
      </c>
      <c r="L27" s="30" t="s">
        <v>90</v>
      </c>
      <c r="M27" s="132" t="s">
        <v>91</v>
      </c>
      <c r="N27" s="27">
        <v>6460</v>
      </c>
      <c r="O27" s="94">
        <v>-3.18</v>
      </c>
      <c r="P27" s="26">
        <v>4093</v>
      </c>
      <c r="Q27" s="94">
        <v>4.07</v>
      </c>
    </row>
    <row r="28" spans="1:17" s="109" customFormat="1" ht="12" customHeight="1" x14ac:dyDescent="0.4">
      <c r="A28" s="21" t="s">
        <v>33</v>
      </c>
      <c r="B28" s="28" t="s">
        <v>90</v>
      </c>
      <c r="C28" s="131" t="s">
        <v>91</v>
      </c>
      <c r="D28" s="22">
        <v>7762</v>
      </c>
      <c r="E28" s="91">
        <v>34.729999999999997</v>
      </c>
      <c r="F28" s="22">
        <v>8861</v>
      </c>
      <c r="G28" s="91">
        <v>16.87</v>
      </c>
      <c r="H28" s="28" t="s">
        <v>90</v>
      </c>
      <c r="I28" s="131" t="s">
        <v>91</v>
      </c>
      <c r="J28" s="23">
        <v>6508</v>
      </c>
      <c r="K28" s="90">
        <v>13.72</v>
      </c>
      <c r="L28" s="23">
        <v>6561</v>
      </c>
      <c r="M28" s="92">
        <v>-24.13</v>
      </c>
      <c r="N28" s="22">
        <v>6794</v>
      </c>
      <c r="O28" s="91">
        <v>9.9700000000000006</v>
      </c>
      <c r="P28" s="23">
        <v>7750</v>
      </c>
      <c r="Q28" s="92">
        <v>5.69</v>
      </c>
    </row>
    <row r="29" spans="1:17" s="109" customFormat="1" ht="12" customHeight="1" x14ac:dyDescent="0.4">
      <c r="A29" s="24" t="s">
        <v>34</v>
      </c>
      <c r="B29" s="26">
        <v>3815</v>
      </c>
      <c r="C29" s="94">
        <v>-0.91</v>
      </c>
      <c r="D29" s="26">
        <v>3330</v>
      </c>
      <c r="E29" s="94">
        <v>-1.1299999999999999</v>
      </c>
      <c r="F29" s="26">
        <v>1778</v>
      </c>
      <c r="G29" s="94">
        <v>-12.37</v>
      </c>
      <c r="H29" s="26">
        <v>3331</v>
      </c>
      <c r="I29" s="94">
        <v>0.18</v>
      </c>
      <c r="J29" s="26">
        <v>2460</v>
      </c>
      <c r="K29" s="94">
        <v>0.04</v>
      </c>
      <c r="L29" s="26">
        <v>2563</v>
      </c>
      <c r="M29" s="94">
        <v>-9.24</v>
      </c>
      <c r="N29" s="26">
        <v>2488</v>
      </c>
      <c r="O29" s="94">
        <v>-14.06</v>
      </c>
      <c r="P29" s="26">
        <v>2383</v>
      </c>
      <c r="Q29" s="94">
        <v>2.94</v>
      </c>
    </row>
    <row r="30" spans="1:17" s="109" customFormat="1" ht="12" customHeight="1" x14ac:dyDescent="0.4">
      <c r="A30" s="21" t="s">
        <v>58</v>
      </c>
      <c r="B30" s="22">
        <v>989</v>
      </c>
      <c r="C30" s="91">
        <v>-39.840000000000003</v>
      </c>
      <c r="D30" s="22">
        <v>685</v>
      </c>
      <c r="E30" s="91">
        <v>-58.28</v>
      </c>
      <c r="F30" s="22">
        <v>574</v>
      </c>
      <c r="G30" s="91">
        <v>-56.02</v>
      </c>
      <c r="H30" s="23">
        <v>1152</v>
      </c>
      <c r="I30" s="92">
        <v>-46.32</v>
      </c>
      <c r="J30" s="22">
        <v>862</v>
      </c>
      <c r="K30" s="92">
        <v>-51.22</v>
      </c>
      <c r="L30" s="22">
        <v>1107</v>
      </c>
      <c r="M30" s="91">
        <v>-53.45</v>
      </c>
      <c r="N30" s="22">
        <v>896</v>
      </c>
      <c r="O30" s="91">
        <v>-46.48</v>
      </c>
      <c r="P30" s="23">
        <v>959</v>
      </c>
      <c r="Q30" s="92">
        <v>-61.52</v>
      </c>
    </row>
    <row r="31" spans="1:17" s="109" customFormat="1" ht="12" customHeight="1" x14ac:dyDescent="0.4">
      <c r="A31" s="24" t="s">
        <v>35</v>
      </c>
      <c r="B31" s="27">
        <v>5756</v>
      </c>
      <c r="C31" s="93">
        <v>10.91</v>
      </c>
      <c r="D31" s="26">
        <v>4894</v>
      </c>
      <c r="E31" s="94">
        <v>2.9</v>
      </c>
      <c r="F31" s="26">
        <v>4801</v>
      </c>
      <c r="G31" s="94">
        <v>6.01</v>
      </c>
      <c r="H31" s="27">
        <v>5567</v>
      </c>
      <c r="I31" s="93">
        <v>4.37</v>
      </c>
      <c r="J31" s="27">
        <v>4347</v>
      </c>
      <c r="K31" s="93">
        <v>4.22</v>
      </c>
      <c r="L31" s="26">
        <v>5753</v>
      </c>
      <c r="M31" s="94">
        <v>4.45</v>
      </c>
      <c r="N31" s="26">
        <v>4318</v>
      </c>
      <c r="O31" s="94">
        <v>1.6</v>
      </c>
      <c r="P31" s="27">
        <v>4193</v>
      </c>
      <c r="Q31" s="93">
        <v>13.14</v>
      </c>
    </row>
    <row r="32" spans="1:17" s="109" customFormat="1" ht="12" customHeight="1" x14ac:dyDescent="0.4">
      <c r="A32" s="21" t="s">
        <v>36</v>
      </c>
      <c r="B32" s="22">
        <v>5248</v>
      </c>
      <c r="C32" s="91">
        <v>6.75</v>
      </c>
      <c r="D32" s="22">
        <v>4787</v>
      </c>
      <c r="E32" s="91">
        <v>24.6</v>
      </c>
      <c r="F32" s="22">
        <v>4837</v>
      </c>
      <c r="G32" s="91">
        <v>8.16</v>
      </c>
      <c r="H32" s="23" t="s">
        <v>90</v>
      </c>
      <c r="I32" s="131" t="s">
        <v>91</v>
      </c>
      <c r="J32" s="22">
        <v>3160</v>
      </c>
      <c r="K32" s="91">
        <v>35.33</v>
      </c>
      <c r="L32" s="22">
        <v>5391</v>
      </c>
      <c r="M32" s="91">
        <v>4.34</v>
      </c>
      <c r="N32" s="22">
        <v>5630</v>
      </c>
      <c r="O32" s="91">
        <v>50.05</v>
      </c>
      <c r="P32" s="23">
        <v>2515</v>
      </c>
      <c r="Q32" s="92">
        <v>19.989999999999998</v>
      </c>
    </row>
    <row r="33" spans="1:17" s="109" customFormat="1" ht="12" customHeight="1" x14ac:dyDescent="0.4">
      <c r="A33" s="24" t="s">
        <v>37</v>
      </c>
      <c r="B33" s="26">
        <v>2404</v>
      </c>
      <c r="C33" s="94">
        <v>2.2999999999999998</v>
      </c>
      <c r="D33" s="26">
        <v>3744</v>
      </c>
      <c r="E33" s="110">
        <v>15.2</v>
      </c>
      <c r="F33" s="26">
        <v>2562</v>
      </c>
      <c r="G33" s="93">
        <v>16.88</v>
      </c>
      <c r="H33" s="30" t="s">
        <v>90</v>
      </c>
      <c r="I33" s="132" t="s">
        <v>91</v>
      </c>
      <c r="J33" s="26">
        <v>3745</v>
      </c>
      <c r="K33" s="94">
        <v>15.69</v>
      </c>
      <c r="L33" s="26">
        <v>2709</v>
      </c>
      <c r="M33" s="94">
        <v>25.07</v>
      </c>
      <c r="N33" s="26">
        <v>2752</v>
      </c>
      <c r="O33" s="93">
        <v>30.36</v>
      </c>
      <c r="P33" s="27">
        <v>3366</v>
      </c>
      <c r="Q33" s="94">
        <v>27.31</v>
      </c>
    </row>
    <row r="34" spans="1:17" s="109" customFormat="1" ht="12" customHeight="1" x14ac:dyDescent="0.4">
      <c r="A34" s="21" t="s">
        <v>53</v>
      </c>
      <c r="B34" s="81" t="s">
        <v>90</v>
      </c>
      <c r="C34" s="131" t="s">
        <v>91</v>
      </c>
      <c r="D34" s="22">
        <v>9413</v>
      </c>
      <c r="E34" s="91">
        <v>0.91</v>
      </c>
      <c r="F34" s="22">
        <v>8684</v>
      </c>
      <c r="G34" s="91">
        <v>2.19</v>
      </c>
      <c r="H34" s="23">
        <v>8842</v>
      </c>
      <c r="I34" s="90">
        <v>-0.11</v>
      </c>
      <c r="J34" s="23">
        <v>8381</v>
      </c>
      <c r="K34" s="92">
        <v>2.42</v>
      </c>
      <c r="L34" s="22">
        <v>9168</v>
      </c>
      <c r="M34" s="91">
        <v>3.28</v>
      </c>
      <c r="N34" s="22">
        <v>8459</v>
      </c>
      <c r="O34" s="91">
        <v>4.43</v>
      </c>
      <c r="P34" s="23">
        <v>8436</v>
      </c>
      <c r="Q34" s="92">
        <v>2.2999999999999998</v>
      </c>
    </row>
    <row r="35" spans="1:17" s="109" customFormat="1" ht="12" customHeight="1" x14ac:dyDescent="0.4">
      <c r="A35" s="24" t="s">
        <v>38</v>
      </c>
      <c r="B35" s="27">
        <v>4250</v>
      </c>
      <c r="C35" s="39">
        <v>3.96</v>
      </c>
      <c r="D35" s="26">
        <v>3528</v>
      </c>
      <c r="E35" s="94">
        <v>4.26</v>
      </c>
      <c r="F35" s="26">
        <v>3204</v>
      </c>
      <c r="G35" s="94">
        <v>-7.85</v>
      </c>
      <c r="H35" s="30" t="s">
        <v>90</v>
      </c>
      <c r="I35" s="132" t="s">
        <v>91</v>
      </c>
      <c r="J35" s="26">
        <v>3755</v>
      </c>
      <c r="K35" s="94">
        <v>4.95</v>
      </c>
      <c r="L35" s="26">
        <v>3470</v>
      </c>
      <c r="M35" s="94">
        <v>-21.39</v>
      </c>
      <c r="N35" s="26">
        <v>3277</v>
      </c>
      <c r="O35" s="94">
        <v>9.9700000000000006</v>
      </c>
      <c r="P35" s="27">
        <v>3522</v>
      </c>
      <c r="Q35" s="94">
        <v>-20.23</v>
      </c>
    </row>
    <row r="36" spans="1:17" s="109" customFormat="1" ht="12" customHeight="1" x14ac:dyDescent="0.4">
      <c r="A36" s="21" t="s">
        <v>39</v>
      </c>
      <c r="B36" s="22">
        <v>5437</v>
      </c>
      <c r="C36" s="91">
        <v>0.7</v>
      </c>
      <c r="D36" s="22">
        <v>4753</v>
      </c>
      <c r="E36" s="91">
        <v>-0.42</v>
      </c>
      <c r="F36" s="22">
        <v>4146</v>
      </c>
      <c r="G36" s="91">
        <v>3.01</v>
      </c>
      <c r="H36" s="23">
        <v>4885</v>
      </c>
      <c r="I36" s="92">
        <v>4.8099999999999996</v>
      </c>
      <c r="J36" s="22">
        <v>4168</v>
      </c>
      <c r="K36" s="91">
        <v>-1.02</v>
      </c>
      <c r="L36" s="22">
        <v>4101</v>
      </c>
      <c r="M36" s="91">
        <v>12.39</v>
      </c>
      <c r="N36" s="22">
        <v>3481</v>
      </c>
      <c r="O36" s="91">
        <v>-12.27</v>
      </c>
      <c r="P36" s="23">
        <v>4789</v>
      </c>
      <c r="Q36" s="92">
        <v>0</v>
      </c>
    </row>
    <row r="37" spans="1:17" s="109" customFormat="1" ht="12" customHeight="1" x14ac:dyDescent="0.4">
      <c r="A37" s="24" t="s">
        <v>40</v>
      </c>
      <c r="B37" s="25" t="s">
        <v>90</v>
      </c>
      <c r="C37" s="132" t="s">
        <v>91</v>
      </c>
      <c r="D37" s="26">
        <v>2678</v>
      </c>
      <c r="E37" s="94">
        <v>11.26</v>
      </c>
      <c r="F37" s="26">
        <v>1952</v>
      </c>
      <c r="G37" s="93">
        <v>0.93</v>
      </c>
      <c r="H37" s="27">
        <v>2300</v>
      </c>
      <c r="I37" s="93">
        <v>8.08</v>
      </c>
      <c r="J37" s="30" t="s">
        <v>90</v>
      </c>
      <c r="K37" s="132" t="s">
        <v>91</v>
      </c>
      <c r="L37" s="30" t="s">
        <v>90</v>
      </c>
      <c r="M37" s="132" t="s">
        <v>91</v>
      </c>
      <c r="N37" s="26">
        <v>2807</v>
      </c>
      <c r="O37" s="93">
        <v>15.04</v>
      </c>
      <c r="P37" s="26">
        <v>2063</v>
      </c>
      <c r="Q37" s="96">
        <v>10.62</v>
      </c>
    </row>
    <row r="38" spans="1:17" s="109" customFormat="1" ht="12" customHeight="1" x14ac:dyDescent="0.4">
      <c r="A38" s="21" t="s">
        <v>59</v>
      </c>
      <c r="B38" s="28" t="s">
        <v>90</v>
      </c>
      <c r="C38" s="131" t="s">
        <v>91</v>
      </c>
      <c r="D38" s="23">
        <v>2092</v>
      </c>
      <c r="E38" s="92">
        <v>4.55</v>
      </c>
      <c r="F38" s="22">
        <v>2435</v>
      </c>
      <c r="G38" s="91">
        <v>7.7</v>
      </c>
      <c r="H38" s="23">
        <v>2656</v>
      </c>
      <c r="I38" s="92">
        <v>10.210000000000001</v>
      </c>
      <c r="J38" s="23">
        <v>2112</v>
      </c>
      <c r="K38" s="91">
        <v>4.87</v>
      </c>
      <c r="L38" s="23">
        <v>2984</v>
      </c>
      <c r="M38" s="92">
        <v>16.11</v>
      </c>
      <c r="N38" s="22">
        <v>2719</v>
      </c>
      <c r="O38" s="91">
        <v>3.07</v>
      </c>
      <c r="P38" s="23">
        <v>2115</v>
      </c>
      <c r="Q38" s="92">
        <v>0.38</v>
      </c>
    </row>
    <row r="39" spans="1:17" s="109" customFormat="1" ht="12" customHeight="1" x14ac:dyDescent="0.4">
      <c r="A39" s="24" t="s">
        <v>41</v>
      </c>
      <c r="B39" s="27">
        <v>2388</v>
      </c>
      <c r="C39" s="39">
        <v>1.36</v>
      </c>
      <c r="D39" s="27">
        <v>2040</v>
      </c>
      <c r="E39" s="93">
        <v>-4</v>
      </c>
      <c r="F39" s="26">
        <v>1724</v>
      </c>
      <c r="G39" s="94">
        <v>-3.09</v>
      </c>
      <c r="H39" s="27">
        <v>2048</v>
      </c>
      <c r="I39" s="93">
        <v>-12.4</v>
      </c>
      <c r="J39" s="27">
        <v>1892</v>
      </c>
      <c r="K39" s="94">
        <v>-4.6900000000000004</v>
      </c>
      <c r="L39" s="27">
        <v>1801</v>
      </c>
      <c r="M39" s="93">
        <v>-8.67</v>
      </c>
      <c r="N39" s="26">
        <v>2533</v>
      </c>
      <c r="O39" s="94">
        <v>0.96</v>
      </c>
      <c r="P39" s="27">
        <v>2893</v>
      </c>
      <c r="Q39" s="93">
        <v>-0.24</v>
      </c>
    </row>
    <row r="40" spans="1:17" s="109" customFormat="1" ht="12" customHeight="1" x14ac:dyDescent="0.4">
      <c r="A40" s="21" t="s">
        <v>42</v>
      </c>
      <c r="B40" s="22">
        <v>4577</v>
      </c>
      <c r="C40" s="91">
        <v>25.64</v>
      </c>
      <c r="D40" s="22">
        <v>3857</v>
      </c>
      <c r="E40" s="91">
        <v>19.079999999999998</v>
      </c>
      <c r="F40" s="22">
        <v>4479</v>
      </c>
      <c r="G40" s="91">
        <v>27.43</v>
      </c>
      <c r="H40" s="23">
        <v>4783</v>
      </c>
      <c r="I40" s="114">
        <v>20.48</v>
      </c>
      <c r="J40" s="22">
        <v>4412</v>
      </c>
      <c r="K40" s="91">
        <v>22.97</v>
      </c>
      <c r="L40" s="22">
        <v>4156</v>
      </c>
      <c r="M40" s="91">
        <v>4.42</v>
      </c>
      <c r="N40" s="22">
        <v>4121</v>
      </c>
      <c r="O40" s="91">
        <v>21.56</v>
      </c>
      <c r="P40" s="23">
        <v>4178</v>
      </c>
      <c r="Q40" s="114">
        <v>22.59</v>
      </c>
    </row>
    <row r="41" spans="1:17" s="109" customFormat="1" ht="12" customHeight="1" x14ac:dyDescent="0.4">
      <c r="A41" s="32" t="s">
        <v>60</v>
      </c>
      <c r="B41" s="33" t="s">
        <v>90</v>
      </c>
      <c r="C41" s="133" t="s">
        <v>91</v>
      </c>
      <c r="D41" s="33">
        <v>7367</v>
      </c>
      <c r="E41" s="95">
        <v>22.84</v>
      </c>
      <c r="F41" s="33">
        <v>7826</v>
      </c>
      <c r="G41" s="95">
        <v>16.010000000000002</v>
      </c>
      <c r="H41" s="103">
        <v>8158</v>
      </c>
      <c r="I41" s="118">
        <v>21.53</v>
      </c>
      <c r="J41" s="33">
        <v>7329</v>
      </c>
      <c r="K41" s="95">
        <v>14.28</v>
      </c>
      <c r="L41" s="33" t="s">
        <v>90</v>
      </c>
      <c r="M41" s="133" t="s">
        <v>91</v>
      </c>
      <c r="N41" s="33">
        <v>6738</v>
      </c>
      <c r="O41" s="95">
        <v>14.13</v>
      </c>
      <c r="P41" s="103">
        <v>7281</v>
      </c>
      <c r="Q41" s="118">
        <v>26.63</v>
      </c>
    </row>
    <row r="42" spans="1:17" s="109" customFormat="1" ht="12" customHeight="1" x14ac:dyDescent="0.4">
      <c r="A42" s="140" t="s">
        <v>43</v>
      </c>
      <c r="B42" s="141"/>
      <c r="C42" s="142"/>
      <c r="D42" s="141"/>
      <c r="E42" s="142"/>
      <c r="F42" s="141"/>
      <c r="G42" s="142"/>
      <c r="H42" s="141"/>
      <c r="I42" s="142"/>
      <c r="J42" s="141"/>
      <c r="K42" s="142"/>
      <c r="L42" s="141"/>
      <c r="M42" s="142"/>
      <c r="N42" s="141"/>
      <c r="O42" s="142"/>
      <c r="P42" s="141"/>
      <c r="Q42" s="142"/>
    </row>
    <row r="43" spans="1:17" s="109" customFormat="1" ht="12" customHeight="1" x14ac:dyDescent="0.4">
      <c r="A43" s="24" t="s">
        <v>44</v>
      </c>
      <c r="B43" s="30" t="s">
        <v>90</v>
      </c>
      <c r="C43" s="132" t="s">
        <v>91</v>
      </c>
      <c r="D43" s="26">
        <v>3211</v>
      </c>
      <c r="E43" s="94">
        <v>-13.03</v>
      </c>
      <c r="F43" s="26">
        <v>4011</v>
      </c>
      <c r="G43" s="94">
        <v>-13.89</v>
      </c>
      <c r="H43" s="30" t="s">
        <v>90</v>
      </c>
      <c r="I43" s="132" t="s">
        <v>91</v>
      </c>
      <c r="J43" s="26">
        <v>3493</v>
      </c>
      <c r="K43" s="94">
        <v>-4.4800000000000004</v>
      </c>
      <c r="L43" s="26">
        <v>5163</v>
      </c>
      <c r="M43" s="94">
        <v>-3.26</v>
      </c>
      <c r="N43" s="26">
        <v>4654</v>
      </c>
      <c r="O43" s="94">
        <v>-12.98</v>
      </c>
      <c r="P43" s="27">
        <v>4176</v>
      </c>
      <c r="Q43" s="94">
        <v>0.46</v>
      </c>
    </row>
    <row r="44" spans="1:17" s="109" customFormat="1" ht="12" customHeight="1" x14ac:dyDescent="0.4">
      <c r="A44" s="21" t="s">
        <v>45</v>
      </c>
      <c r="B44" s="22">
        <v>1594</v>
      </c>
      <c r="C44" s="91">
        <v>2.5099999999999998</v>
      </c>
      <c r="D44" s="22">
        <v>1635</v>
      </c>
      <c r="E44" s="91">
        <v>-10.9</v>
      </c>
      <c r="F44" s="22">
        <v>1583</v>
      </c>
      <c r="G44" s="91">
        <v>-8.66</v>
      </c>
      <c r="H44" s="23">
        <v>1225</v>
      </c>
      <c r="I44" s="92">
        <v>-24.94</v>
      </c>
      <c r="J44" s="22">
        <v>1085</v>
      </c>
      <c r="K44" s="91">
        <v>-15.89</v>
      </c>
      <c r="L44" s="23">
        <v>1234</v>
      </c>
      <c r="M44" s="90">
        <v>-19.13</v>
      </c>
      <c r="N44" s="22">
        <v>1665</v>
      </c>
      <c r="O44" s="91">
        <v>-12</v>
      </c>
      <c r="P44" s="23">
        <v>1311</v>
      </c>
      <c r="Q44" s="92">
        <v>-9.4600000000000009</v>
      </c>
    </row>
    <row r="45" spans="1:17" s="109" customFormat="1" ht="12" customHeight="1" x14ac:dyDescent="0.4">
      <c r="A45" s="24" t="s">
        <v>61</v>
      </c>
      <c r="B45" s="26">
        <v>3556</v>
      </c>
      <c r="C45" s="93">
        <v>-5.4</v>
      </c>
      <c r="D45" s="26">
        <v>3743</v>
      </c>
      <c r="E45" s="94">
        <v>-10.77</v>
      </c>
      <c r="F45" s="26">
        <v>2421</v>
      </c>
      <c r="G45" s="94">
        <v>-7.98</v>
      </c>
      <c r="H45" s="26">
        <v>3811</v>
      </c>
      <c r="I45" s="94">
        <v>-9.3699999999999992</v>
      </c>
      <c r="J45" s="26">
        <v>3156</v>
      </c>
      <c r="K45" s="94">
        <v>-5.71</v>
      </c>
      <c r="L45" s="26">
        <v>2515</v>
      </c>
      <c r="M45" s="94">
        <v>-16.61</v>
      </c>
      <c r="N45" s="26">
        <v>2522</v>
      </c>
      <c r="O45" s="94">
        <v>-11.26</v>
      </c>
      <c r="P45" s="26">
        <v>2996</v>
      </c>
      <c r="Q45" s="94">
        <v>-12.75</v>
      </c>
    </row>
    <row r="46" spans="1:17" s="109" customFormat="1" ht="12" customHeight="1" x14ac:dyDescent="0.4">
      <c r="A46" s="21" t="s">
        <v>46</v>
      </c>
      <c r="B46" s="22">
        <v>3531</v>
      </c>
      <c r="C46" s="91">
        <v>-1.62</v>
      </c>
      <c r="D46" s="22">
        <v>3230</v>
      </c>
      <c r="E46" s="91">
        <v>-10.87</v>
      </c>
      <c r="F46" s="22">
        <v>3788</v>
      </c>
      <c r="G46" s="91">
        <v>1.88</v>
      </c>
      <c r="H46" s="23">
        <v>3924</v>
      </c>
      <c r="I46" s="92">
        <v>7.71</v>
      </c>
      <c r="J46" s="22">
        <v>2874</v>
      </c>
      <c r="K46" s="91">
        <v>-8.76</v>
      </c>
      <c r="L46" s="22">
        <v>3310</v>
      </c>
      <c r="M46" s="91">
        <v>-11.85</v>
      </c>
      <c r="N46" s="22">
        <v>3142</v>
      </c>
      <c r="O46" s="91">
        <v>-1.1299999999999999</v>
      </c>
      <c r="P46" s="23">
        <v>2696</v>
      </c>
      <c r="Q46" s="92">
        <v>-11.78</v>
      </c>
    </row>
    <row r="47" spans="1:17" s="109" customFormat="1" ht="12" customHeight="1" x14ac:dyDescent="0.4">
      <c r="A47" s="32" t="s">
        <v>47</v>
      </c>
      <c r="B47" s="33">
        <v>1996</v>
      </c>
      <c r="C47" s="95">
        <v>2.15</v>
      </c>
      <c r="D47" s="33">
        <v>2342</v>
      </c>
      <c r="E47" s="95">
        <v>-7.61</v>
      </c>
      <c r="F47" s="33">
        <v>2233</v>
      </c>
      <c r="G47" s="95">
        <v>-3.46</v>
      </c>
      <c r="H47" s="33">
        <v>1868</v>
      </c>
      <c r="I47" s="95">
        <v>-5.56</v>
      </c>
      <c r="J47" s="33">
        <v>1784</v>
      </c>
      <c r="K47" s="95">
        <v>-3.04</v>
      </c>
      <c r="L47" s="33">
        <v>2574</v>
      </c>
      <c r="M47" s="95">
        <v>-6.09</v>
      </c>
      <c r="N47" s="102" t="s">
        <v>90</v>
      </c>
      <c r="O47" s="133" t="s">
        <v>91</v>
      </c>
      <c r="P47" s="33">
        <v>1747</v>
      </c>
      <c r="Q47" s="95">
        <v>-1.36</v>
      </c>
    </row>
    <row r="48" spans="1:17" s="109" customFormat="1" ht="12" customHeight="1" x14ac:dyDescent="0.4">
      <c r="A48" s="140" t="s">
        <v>62</v>
      </c>
      <c r="B48" s="141"/>
      <c r="C48" s="142"/>
      <c r="D48" s="141"/>
      <c r="E48" s="142"/>
      <c r="F48" s="141"/>
      <c r="G48" s="142"/>
      <c r="H48" s="141"/>
      <c r="I48" s="142"/>
      <c r="J48" s="141"/>
      <c r="K48" s="142"/>
      <c r="L48" s="141"/>
      <c r="M48" s="142"/>
      <c r="N48" s="141"/>
      <c r="O48" s="142"/>
      <c r="P48" s="141"/>
      <c r="Q48" s="142"/>
    </row>
    <row r="49" spans="1:25" s="109" customFormat="1" ht="12" customHeight="1" x14ac:dyDescent="0.4">
      <c r="A49" s="15" t="s">
        <v>63</v>
      </c>
      <c r="B49" s="34">
        <v>4105</v>
      </c>
      <c r="C49" s="98">
        <v>-0.05</v>
      </c>
      <c r="D49" s="34">
        <v>3892</v>
      </c>
      <c r="E49" s="98">
        <v>1.46</v>
      </c>
      <c r="F49" s="34">
        <v>4400</v>
      </c>
      <c r="G49" s="98">
        <v>-1.26</v>
      </c>
      <c r="H49" s="34">
        <v>4031</v>
      </c>
      <c r="I49" s="98">
        <v>-1.27</v>
      </c>
      <c r="J49" s="34">
        <v>3942</v>
      </c>
      <c r="K49" s="98">
        <v>-1.43</v>
      </c>
      <c r="L49" s="34">
        <v>4178</v>
      </c>
      <c r="M49" s="98">
        <v>-3.09</v>
      </c>
      <c r="N49" s="34">
        <v>3999</v>
      </c>
      <c r="O49" s="98">
        <v>-3.24</v>
      </c>
      <c r="P49" s="34">
        <v>4241</v>
      </c>
      <c r="Q49" s="98">
        <v>-0.21</v>
      </c>
    </row>
    <row r="50" spans="1:25" s="109" customFormat="1" ht="12" customHeight="1" x14ac:dyDescent="0.4">
      <c r="A50" s="35" t="s">
        <v>64</v>
      </c>
      <c r="B50" s="104" t="s">
        <v>90</v>
      </c>
      <c r="C50" s="134" t="s">
        <v>91</v>
      </c>
      <c r="D50" s="36">
        <v>4408</v>
      </c>
      <c r="E50" s="97">
        <v>4.83</v>
      </c>
      <c r="F50" s="36">
        <v>4819</v>
      </c>
      <c r="G50" s="97">
        <v>-0.72</v>
      </c>
      <c r="H50" s="36">
        <v>4469</v>
      </c>
      <c r="I50" s="97">
        <v>1.57</v>
      </c>
      <c r="J50" s="36">
        <v>4753</v>
      </c>
      <c r="K50" s="97">
        <v>0.02</v>
      </c>
      <c r="L50" s="36">
        <v>4310</v>
      </c>
      <c r="M50" s="97">
        <v>2.5499999999999998</v>
      </c>
      <c r="N50" s="36">
        <v>4187</v>
      </c>
      <c r="O50" s="97">
        <v>-2.4500000000000002</v>
      </c>
      <c r="P50" s="36">
        <v>4248</v>
      </c>
      <c r="Q50" s="97">
        <v>-6.58</v>
      </c>
    </row>
    <row r="51" spans="1:25" s="109" customFormat="1" ht="12" customHeight="1" x14ac:dyDescent="0.4">
      <c r="A51" s="15" t="s">
        <v>65</v>
      </c>
      <c r="B51" s="34">
        <v>9533</v>
      </c>
      <c r="C51" s="98">
        <v>-2.46</v>
      </c>
      <c r="D51" s="34">
        <v>12453</v>
      </c>
      <c r="E51" s="98">
        <v>-0.25</v>
      </c>
      <c r="F51" s="34">
        <v>8859</v>
      </c>
      <c r="G51" s="98">
        <v>-1.35</v>
      </c>
      <c r="H51" s="34">
        <v>9042</v>
      </c>
      <c r="I51" s="98">
        <v>1.6</v>
      </c>
      <c r="J51" s="34">
        <v>11417</v>
      </c>
      <c r="K51" s="98">
        <v>1.69</v>
      </c>
      <c r="L51" s="34">
        <v>9100</v>
      </c>
      <c r="M51" s="98">
        <v>-3.08</v>
      </c>
      <c r="N51" s="34">
        <v>11475</v>
      </c>
      <c r="O51" s="98">
        <v>-3.07</v>
      </c>
      <c r="P51" s="34">
        <v>11670</v>
      </c>
      <c r="Q51" s="98">
        <v>-7.99</v>
      </c>
    </row>
    <row r="52" spans="1:25" s="109" customFormat="1" ht="12" customHeight="1" x14ac:dyDescent="0.4">
      <c r="A52" s="35" t="s">
        <v>66</v>
      </c>
      <c r="B52" s="104" t="s">
        <v>90</v>
      </c>
      <c r="C52" s="134" t="s">
        <v>91</v>
      </c>
      <c r="D52" s="36">
        <v>8652</v>
      </c>
      <c r="E52" s="97">
        <v>-2.29</v>
      </c>
      <c r="F52" s="36">
        <v>7363</v>
      </c>
      <c r="G52" s="97">
        <v>-0.05</v>
      </c>
      <c r="H52" s="104" t="s">
        <v>90</v>
      </c>
      <c r="I52" s="134" t="s">
        <v>91</v>
      </c>
      <c r="J52" s="104" t="s">
        <v>90</v>
      </c>
      <c r="K52" s="134" t="s">
        <v>91</v>
      </c>
      <c r="L52" s="36">
        <v>6936</v>
      </c>
      <c r="M52" s="97">
        <v>-1.38</v>
      </c>
      <c r="N52" s="36">
        <v>7246</v>
      </c>
      <c r="O52" s="97">
        <v>-0.88</v>
      </c>
      <c r="P52" s="36">
        <v>6891</v>
      </c>
      <c r="Q52" s="97">
        <v>-7.22</v>
      </c>
    </row>
    <row r="53" spans="1:25" s="109" customFormat="1" ht="12" customHeight="1" x14ac:dyDescent="0.4">
      <c r="A53" s="15" t="s">
        <v>67</v>
      </c>
      <c r="B53" s="34">
        <v>6608</v>
      </c>
      <c r="C53" s="98">
        <v>-2.15</v>
      </c>
      <c r="D53" s="34">
        <v>6737</v>
      </c>
      <c r="E53" s="98">
        <v>-0.09</v>
      </c>
      <c r="F53" s="34">
        <v>7326</v>
      </c>
      <c r="G53" s="98">
        <v>-0.85</v>
      </c>
      <c r="H53" s="34">
        <v>7127</v>
      </c>
      <c r="I53" s="98">
        <v>1.1399999999999999</v>
      </c>
      <c r="J53" s="34">
        <v>5900</v>
      </c>
      <c r="K53" s="98">
        <v>-5.25</v>
      </c>
      <c r="L53" s="34">
        <v>6552</v>
      </c>
      <c r="M53" s="98">
        <v>-2.4300000000000002</v>
      </c>
      <c r="N53" s="34">
        <v>6729</v>
      </c>
      <c r="O53" s="98">
        <v>-2.0099999999999998</v>
      </c>
      <c r="P53" s="34">
        <v>6690</v>
      </c>
      <c r="Q53" s="98">
        <v>-7.37</v>
      </c>
    </row>
    <row r="54" spans="1:25" s="109" customFormat="1" ht="12" customHeight="1" x14ac:dyDescent="0.4">
      <c r="A54" s="35" t="s">
        <v>68</v>
      </c>
      <c r="B54" s="36">
        <v>2997</v>
      </c>
      <c r="C54" s="97">
        <v>-0.6</v>
      </c>
      <c r="D54" s="36">
        <v>2622</v>
      </c>
      <c r="E54" s="97">
        <v>0.38</v>
      </c>
      <c r="F54" s="104" t="s">
        <v>90</v>
      </c>
      <c r="G54" s="134" t="s">
        <v>91</v>
      </c>
      <c r="H54" s="36">
        <v>3292</v>
      </c>
      <c r="I54" s="99">
        <v>1.45</v>
      </c>
      <c r="J54" s="36">
        <v>2850</v>
      </c>
      <c r="K54" s="97">
        <v>-0.35</v>
      </c>
      <c r="L54" s="36">
        <v>2900</v>
      </c>
      <c r="M54" s="97">
        <v>-0.57999999999999996</v>
      </c>
      <c r="N54" s="36">
        <v>2775</v>
      </c>
      <c r="O54" s="97">
        <v>-0.32</v>
      </c>
      <c r="P54" s="36">
        <v>3046</v>
      </c>
      <c r="Q54" s="97">
        <v>-6.62</v>
      </c>
    </row>
    <row r="55" spans="1:25" s="109" customFormat="1" ht="12" customHeight="1" x14ac:dyDescent="0.4">
      <c r="A55" s="15" t="s">
        <v>92</v>
      </c>
      <c r="B55" s="115" t="s">
        <v>90</v>
      </c>
      <c r="C55" s="135" t="s">
        <v>91</v>
      </c>
      <c r="D55" s="34">
        <v>506</v>
      </c>
      <c r="E55" s="100">
        <v>-3.25</v>
      </c>
      <c r="F55" s="115">
        <v>483</v>
      </c>
      <c r="G55" s="157">
        <v>-3.4</v>
      </c>
      <c r="H55" s="34">
        <v>512</v>
      </c>
      <c r="I55" s="98">
        <v>-1.73</v>
      </c>
      <c r="J55" s="34">
        <v>518</v>
      </c>
      <c r="K55" s="98">
        <v>-1.71</v>
      </c>
      <c r="L55" s="34">
        <v>494</v>
      </c>
      <c r="M55" s="98">
        <v>1.02</v>
      </c>
      <c r="N55" s="34">
        <v>526</v>
      </c>
      <c r="O55" s="98">
        <v>4.57</v>
      </c>
      <c r="P55" s="34">
        <v>529</v>
      </c>
      <c r="Q55" s="98">
        <v>-0.75</v>
      </c>
    </row>
    <row r="56" spans="1:25" s="111" customFormat="1" ht="12" customHeight="1" x14ac:dyDescent="0.45">
      <c r="A56" s="35" t="s">
        <v>69</v>
      </c>
      <c r="B56" s="36">
        <v>20000</v>
      </c>
      <c r="C56" s="97">
        <v>-7.12</v>
      </c>
      <c r="D56" s="36">
        <v>19792</v>
      </c>
      <c r="E56" s="97">
        <v>-1.84</v>
      </c>
      <c r="F56" s="36">
        <v>19250</v>
      </c>
      <c r="G56" s="97">
        <v>-16.12</v>
      </c>
      <c r="H56" s="36">
        <v>14906</v>
      </c>
      <c r="I56" s="97">
        <v>-7.03</v>
      </c>
      <c r="J56" s="36">
        <v>19625</v>
      </c>
      <c r="K56" s="97">
        <v>0.99</v>
      </c>
      <c r="L56" s="36">
        <v>24800</v>
      </c>
      <c r="M56" s="97">
        <v>-4.62</v>
      </c>
      <c r="N56" s="36">
        <v>21455</v>
      </c>
      <c r="O56" s="97">
        <v>-1.22</v>
      </c>
      <c r="P56" s="104" t="s">
        <v>90</v>
      </c>
      <c r="Q56" s="134" t="s">
        <v>91</v>
      </c>
      <c r="R56" s="37"/>
      <c r="S56" s="94"/>
      <c r="T56" s="37"/>
      <c r="U56" s="94"/>
      <c r="V56" s="37"/>
      <c r="W56" s="93"/>
      <c r="X56" s="37"/>
      <c r="Y56" s="94"/>
    </row>
    <row r="57" spans="1:25" s="40" customFormat="1" ht="12" customHeight="1" x14ac:dyDescent="0.45">
      <c r="A57" s="15" t="s">
        <v>70</v>
      </c>
      <c r="B57" s="34">
        <v>16917</v>
      </c>
      <c r="C57" s="98">
        <v>-2.0299999999999998</v>
      </c>
      <c r="D57" s="34">
        <v>18542</v>
      </c>
      <c r="E57" s="98">
        <v>-4.3600000000000003</v>
      </c>
      <c r="F57" s="115" t="s">
        <v>90</v>
      </c>
      <c r="G57" s="135" t="s">
        <v>91</v>
      </c>
      <c r="H57" s="120" t="s">
        <v>90</v>
      </c>
      <c r="I57" s="135" t="s">
        <v>91</v>
      </c>
      <c r="J57" s="34">
        <v>18181</v>
      </c>
      <c r="K57" s="98">
        <v>-0.62</v>
      </c>
      <c r="L57" s="34">
        <v>18933</v>
      </c>
      <c r="M57" s="98">
        <v>-2.4900000000000002</v>
      </c>
      <c r="N57" s="34">
        <v>21300</v>
      </c>
      <c r="O57" s="98">
        <v>-3.02</v>
      </c>
      <c r="P57" s="34">
        <v>20000</v>
      </c>
      <c r="Q57" s="98">
        <v>0</v>
      </c>
      <c r="S57" s="101"/>
      <c r="U57" s="101"/>
      <c r="W57" s="101"/>
      <c r="Y57" s="101"/>
    </row>
    <row r="58" spans="1:25" s="40" customFormat="1" ht="12" customHeight="1" x14ac:dyDescent="0.45">
      <c r="A58" s="35" t="s">
        <v>71</v>
      </c>
      <c r="B58" s="36">
        <v>39250</v>
      </c>
      <c r="C58" s="97">
        <v>-1.22</v>
      </c>
      <c r="D58" s="36">
        <v>40500</v>
      </c>
      <c r="E58" s="97">
        <v>-4.16</v>
      </c>
      <c r="F58" s="36">
        <v>80900</v>
      </c>
      <c r="G58" s="97">
        <v>0</v>
      </c>
      <c r="H58" s="36">
        <v>44875</v>
      </c>
      <c r="I58" s="97">
        <v>-7.41</v>
      </c>
      <c r="J58" s="82" t="s">
        <v>90</v>
      </c>
      <c r="K58" s="112" t="s">
        <v>91</v>
      </c>
      <c r="L58" s="36">
        <v>33933</v>
      </c>
      <c r="M58" s="97">
        <v>-3.28</v>
      </c>
      <c r="N58" s="36">
        <v>53995</v>
      </c>
      <c r="O58" s="97">
        <v>-0.97</v>
      </c>
      <c r="P58" s="36">
        <v>36000</v>
      </c>
      <c r="Q58" s="97">
        <v>1.5</v>
      </c>
      <c r="S58" s="101"/>
      <c r="U58" s="101"/>
      <c r="W58" s="101"/>
      <c r="Y58" s="101"/>
    </row>
    <row r="59" spans="1:25" s="40" customFormat="1" ht="12" customHeight="1" x14ac:dyDescent="0.45">
      <c r="A59" s="15" t="s">
        <v>72</v>
      </c>
      <c r="B59" s="34">
        <v>10942</v>
      </c>
      <c r="C59" s="98">
        <v>-0.53</v>
      </c>
      <c r="D59" s="34">
        <v>14492</v>
      </c>
      <c r="E59" s="98">
        <v>3.71</v>
      </c>
      <c r="F59" s="34">
        <v>16567</v>
      </c>
      <c r="G59" s="98">
        <v>1.18</v>
      </c>
      <c r="H59" s="34">
        <v>11881</v>
      </c>
      <c r="I59" s="98">
        <v>1.1100000000000001</v>
      </c>
      <c r="J59" s="34">
        <v>12088</v>
      </c>
      <c r="K59" s="98">
        <v>3.67</v>
      </c>
      <c r="L59" s="34">
        <v>12997</v>
      </c>
      <c r="M59" s="98">
        <v>-4.84</v>
      </c>
      <c r="N59" s="34">
        <v>13875</v>
      </c>
      <c r="O59" s="98">
        <v>4.42</v>
      </c>
      <c r="P59" s="115" t="s">
        <v>90</v>
      </c>
      <c r="Q59" s="135" t="s">
        <v>91</v>
      </c>
      <c r="S59" s="101"/>
      <c r="U59" s="101"/>
      <c r="W59" s="101"/>
      <c r="Y59" s="101"/>
    </row>
    <row r="60" spans="1:25" s="40" customFormat="1" ht="12" customHeight="1" x14ac:dyDescent="0.45">
      <c r="A60" s="35" t="s">
        <v>73</v>
      </c>
      <c r="B60" s="36">
        <v>10326</v>
      </c>
      <c r="C60" s="97">
        <v>-0.72</v>
      </c>
      <c r="D60" s="104" t="s">
        <v>90</v>
      </c>
      <c r="E60" s="134" t="s">
        <v>91</v>
      </c>
      <c r="F60" s="36">
        <v>9598</v>
      </c>
      <c r="G60" s="97">
        <v>-7.72</v>
      </c>
      <c r="H60" s="36">
        <v>10609</v>
      </c>
      <c r="I60" s="99">
        <v>1.07</v>
      </c>
      <c r="J60" s="36">
        <v>13302</v>
      </c>
      <c r="K60" s="97">
        <v>0.62</v>
      </c>
      <c r="L60" s="104" t="s">
        <v>90</v>
      </c>
      <c r="M60" s="134" t="s">
        <v>91</v>
      </c>
      <c r="N60" s="36">
        <v>8697</v>
      </c>
      <c r="O60" s="97">
        <v>0.6</v>
      </c>
      <c r="P60" s="36">
        <v>11845</v>
      </c>
      <c r="Q60" s="97">
        <v>0</v>
      </c>
      <c r="S60" s="101"/>
      <c r="U60" s="101"/>
      <c r="W60" s="101"/>
      <c r="Y60" s="101"/>
    </row>
    <row r="61" spans="1:25" s="40" customFormat="1" ht="12" customHeight="1" x14ac:dyDescent="0.45">
      <c r="A61" s="15" t="s">
        <v>74</v>
      </c>
      <c r="B61" s="34">
        <v>3920</v>
      </c>
      <c r="C61" s="98">
        <v>0.36</v>
      </c>
      <c r="D61" s="34">
        <v>4276</v>
      </c>
      <c r="E61" s="98">
        <v>-2.04</v>
      </c>
      <c r="F61" s="34">
        <v>4309</v>
      </c>
      <c r="G61" s="98">
        <v>6</v>
      </c>
      <c r="H61" s="34">
        <v>4028</v>
      </c>
      <c r="I61" s="98">
        <v>-2.09</v>
      </c>
      <c r="J61" s="34">
        <v>4175</v>
      </c>
      <c r="K61" s="98">
        <v>4.93</v>
      </c>
      <c r="L61" s="115" t="s">
        <v>90</v>
      </c>
      <c r="M61" s="135" t="s">
        <v>91</v>
      </c>
      <c r="N61" s="34">
        <v>4201</v>
      </c>
      <c r="O61" s="98">
        <v>1.65</v>
      </c>
      <c r="P61" s="115" t="s">
        <v>90</v>
      </c>
      <c r="Q61" s="135" t="s">
        <v>91</v>
      </c>
      <c r="S61" s="101"/>
      <c r="U61" s="101"/>
      <c r="W61" s="101"/>
      <c r="Y61" s="101"/>
    </row>
    <row r="62" spans="1:25" s="40" customFormat="1" ht="12" customHeight="1" x14ac:dyDescent="0.45">
      <c r="A62" s="35" t="s">
        <v>75</v>
      </c>
      <c r="B62" s="36">
        <v>10930</v>
      </c>
      <c r="C62" s="97">
        <v>0.99</v>
      </c>
      <c r="D62" s="36">
        <v>13372</v>
      </c>
      <c r="E62" s="97">
        <v>-3.05</v>
      </c>
      <c r="F62" s="36">
        <v>14525</v>
      </c>
      <c r="G62" s="97">
        <v>0.35</v>
      </c>
      <c r="H62" s="36">
        <v>11060</v>
      </c>
      <c r="I62" s="97">
        <v>0.23</v>
      </c>
      <c r="J62" s="36">
        <v>16115</v>
      </c>
      <c r="K62" s="97">
        <v>1.18</v>
      </c>
      <c r="L62" s="36">
        <v>14056</v>
      </c>
      <c r="M62" s="112">
        <v>-0.7</v>
      </c>
      <c r="N62" s="36">
        <v>12876</v>
      </c>
      <c r="O62" s="97">
        <v>-0.63</v>
      </c>
      <c r="P62" s="36">
        <v>18210</v>
      </c>
      <c r="Q62" s="97">
        <v>0</v>
      </c>
      <c r="S62" s="101"/>
      <c r="U62" s="101"/>
      <c r="W62" s="101"/>
      <c r="Y62" s="101"/>
    </row>
    <row r="63" spans="1:25" s="40" customFormat="1" ht="12" customHeight="1" x14ac:dyDescent="0.45">
      <c r="A63" s="15" t="s">
        <v>76</v>
      </c>
      <c r="B63" s="34">
        <v>3447</v>
      </c>
      <c r="C63" s="98">
        <v>0.5</v>
      </c>
      <c r="D63" s="34">
        <v>3922</v>
      </c>
      <c r="E63" s="98">
        <v>0.33</v>
      </c>
      <c r="F63" s="34">
        <v>4687</v>
      </c>
      <c r="G63" s="98">
        <v>3.33</v>
      </c>
      <c r="H63" s="34">
        <v>3546</v>
      </c>
      <c r="I63" s="98">
        <v>-1.85</v>
      </c>
      <c r="J63" s="34">
        <v>4923</v>
      </c>
      <c r="K63" s="98">
        <v>-0.16</v>
      </c>
      <c r="L63" s="34">
        <v>4040</v>
      </c>
      <c r="M63" s="116">
        <v>-1.27</v>
      </c>
      <c r="N63" s="34">
        <v>4618</v>
      </c>
      <c r="O63" s="98">
        <v>-1.37</v>
      </c>
      <c r="P63" s="34">
        <v>4633</v>
      </c>
      <c r="Q63" s="98">
        <v>0</v>
      </c>
      <c r="S63" s="101"/>
      <c r="U63" s="101"/>
      <c r="W63" s="101"/>
      <c r="Y63" s="101"/>
    </row>
    <row r="64" spans="1:25" s="40" customFormat="1" ht="12" customHeight="1" x14ac:dyDescent="0.45">
      <c r="A64" s="35" t="s">
        <v>77</v>
      </c>
      <c r="B64" s="36">
        <v>4254</v>
      </c>
      <c r="C64" s="97">
        <v>0.97</v>
      </c>
      <c r="D64" s="36">
        <v>4750</v>
      </c>
      <c r="E64" s="112">
        <v>4.24</v>
      </c>
      <c r="F64" s="36">
        <v>4351</v>
      </c>
      <c r="G64" s="97">
        <v>-0.59</v>
      </c>
      <c r="H64" s="36">
        <v>4396</v>
      </c>
      <c r="I64" s="97">
        <v>-3.13</v>
      </c>
      <c r="J64" s="36">
        <v>5556</v>
      </c>
      <c r="K64" s="99">
        <v>0</v>
      </c>
      <c r="L64" s="36">
        <v>3917</v>
      </c>
      <c r="M64" s="97">
        <v>-6.56</v>
      </c>
      <c r="N64" s="36" t="s">
        <v>90</v>
      </c>
      <c r="O64" s="134" t="s">
        <v>91</v>
      </c>
      <c r="P64" s="36">
        <v>4741</v>
      </c>
      <c r="Q64" s="97">
        <v>0</v>
      </c>
      <c r="S64" s="101"/>
      <c r="U64" s="101"/>
      <c r="W64" s="101"/>
      <c r="Y64" s="101"/>
    </row>
    <row r="65" spans="1:25" s="40" customFormat="1" ht="12" customHeight="1" x14ac:dyDescent="0.45">
      <c r="A65" s="15" t="s">
        <v>78</v>
      </c>
      <c r="B65" s="34">
        <v>29586</v>
      </c>
      <c r="C65" s="98">
        <v>0.1</v>
      </c>
      <c r="D65" s="34">
        <v>35160</v>
      </c>
      <c r="E65" s="100">
        <v>2.35</v>
      </c>
      <c r="F65" s="34" t="s">
        <v>90</v>
      </c>
      <c r="G65" s="135" t="s">
        <v>91</v>
      </c>
      <c r="H65" s="34">
        <v>33218</v>
      </c>
      <c r="I65" s="98">
        <v>0.49</v>
      </c>
      <c r="J65" s="34">
        <v>31481</v>
      </c>
      <c r="K65" s="100">
        <v>0</v>
      </c>
      <c r="L65" s="34" t="s">
        <v>90</v>
      </c>
      <c r="M65" s="135" t="s">
        <v>91</v>
      </c>
      <c r="N65" s="34">
        <v>32153</v>
      </c>
      <c r="O65" s="98">
        <v>0.76</v>
      </c>
      <c r="P65" s="34" t="s">
        <v>90</v>
      </c>
      <c r="Q65" s="135" t="s">
        <v>91</v>
      </c>
      <c r="S65" s="101"/>
      <c r="U65" s="101"/>
      <c r="W65" s="101"/>
      <c r="Y65" s="101"/>
    </row>
    <row r="66" spans="1:25" s="40" customFormat="1" ht="12" customHeight="1" x14ac:dyDescent="0.45">
      <c r="A66" s="35" t="s">
        <v>79</v>
      </c>
      <c r="B66" s="36">
        <v>38591</v>
      </c>
      <c r="C66" s="156">
        <v>0.24</v>
      </c>
      <c r="D66" s="36">
        <v>30796</v>
      </c>
      <c r="E66" s="97">
        <v>-0.56999999999999995</v>
      </c>
      <c r="F66" s="36">
        <v>35065</v>
      </c>
      <c r="G66" s="97">
        <v>-0.7</v>
      </c>
      <c r="H66" s="121" t="s">
        <v>90</v>
      </c>
      <c r="I66" s="134" t="s">
        <v>91</v>
      </c>
      <c r="J66" s="36">
        <v>32220</v>
      </c>
      <c r="K66" s="97">
        <v>1.78</v>
      </c>
      <c r="L66" s="36">
        <v>30433</v>
      </c>
      <c r="M66" s="97">
        <v>-1.88</v>
      </c>
      <c r="N66" s="36">
        <v>37380</v>
      </c>
      <c r="O66" s="97">
        <v>-0.31</v>
      </c>
      <c r="P66" s="36">
        <v>34443</v>
      </c>
      <c r="Q66" s="97">
        <v>0</v>
      </c>
      <c r="R66" s="41"/>
      <c r="S66" s="42"/>
      <c r="T66" s="41"/>
      <c r="U66" s="42"/>
      <c r="V66" s="41"/>
      <c r="W66" s="42"/>
      <c r="X66" s="41"/>
      <c r="Y66" s="42"/>
    </row>
    <row r="67" spans="1:25" s="40" customFormat="1" ht="12" customHeight="1" x14ac:dyDescent="0.45">
      <c r="A67" s="15" t="s">
        <v>80</v>
      </c>
      <c r="B67" s="122">
        <v>16414</v>
      </c>
      <c r="C67" s="116">
        <v>0.28000000000000003</v>
      </c>
      <c r="D67" s="34">
        <v>13297</v>
      </c>
      <c r="E67" s="98">
        <v>-3.62</v>
      </c>
      <c r="F67" s="34">
        <v>16883</v>
      </c>
      <c r="G67" s="98">
        <v>1.83</v>
      </c>
      <c r="H67" s="115" t="s">
        <v>90</v>
      </c>
      <c r="I67" s="135" t="s">
        <v>91</v>
      </c>
      <c r="J67" s="34">
        <v>29125</v>
      </c>
      <c r="K67" s="98">
        <v>-1.6</v>
      </c>
      <c r="L67" s="120" t="s">
        <v>90</v>
      </c>
      <c r="M67" s="135" t="s">
        <v>91</v>
      </c>
      <c r="N67" s="34">
        <v>14376</v>
      </c>
      <c r="O67" s="98">
        <v>1.08</v>
      </c>
      <c r="P67" s="34">
        <v>22643</v>
      </c>
      <c r="Q67" s="98">
        <v>0</v>
      </c>
      <c r="R67" s="41"/>
      <c r="S67" s="42"/>
      <c r="T67" s="41"/>
      <c r="U67" s="42"/>
      <c r="V67" s="41"/>
      <c r="W67" s="42"/>
      <c r="X67" s="41"/>
      <c r="Y67" s="42"/>
    </row>
    <row r="68" spans="1:25" s="40" customFormat="1" ht="12" customHeight="1" x14ac:dyDescent="0.45">
      <c r="A68" s="35" t="s">
        <v>81</v>
      </c>
      <c r="B68" s="36">
        <v>4098</v>
      </c>
      <c r="C68" s="97">
        <v>-1.35</v>
      </c>
      <c r="D68" s="36">
        <v>3038</v>
      </c>
      <c r="E68" s="97">
        <v>-2.72</v>
      </c>
      <c r="F68" s="36">
        <v>3310</v>
      </c>
      <c r="G68" s="97">
        <v>-0.84</v>
      </c>
      <c r="H68" s="104" t="s">
        <v>90</v>
      </c>
      <c r="I68" s="134" t="s">
        <v>91</v>
      </c>
      <c r="J68" s="36">
        <v>5174</v>
      </c>
      <c r="K68" s="97">
        <v>3.77</v>
      </c>
      <c r="L68" s="136">
        <v>3009</v>
      </c>
      <c r="M68" s="112">
        <v>-11.11</v>
      </c>
      <c r="N68" s="36">
        <v>4414</v>
      </c>
      <c r="O68" s="97">
        <v>-1.85</v>
      </c>
      <c r="P68" s="36">
        <v>4875</v>
      </c>
      <c r="Q68" s="97">
        <v>0</v>
      </c>
      <c r="R68" s="41"/>
      <c r="S68" s="42"/>
      <c r="T68" s="41"/>
      <c r="U68" s="42"/>
      <c r="V68" s="41"/>
      <c r="W68" s="42"/>
      <c r="X68" s="41"/>
      <c r="Y68" s="42"/>
    </row>
    <row r="69" spans="1:25" s="40" customFormat="1" ht="12" customHeight="1" x14ac:dyDescent="0.45">
      <c r="A69" s="15" t="s">
        <v>82</v>
      </c>
      <c r="B69" s="34">
        <v>7094</v>
      </c>
      <c r="C69" s="98">
        <v>0.67</v>
      </c>
      <c r="D69" s="34">
        <v>7264</v>
      </c>
      <c r="E69" s="98">
        <v>-2.5499999999999998</v>
      </c>
      <c r="F69" s="34">
        <v>7413</v>
      </c>
      <c r="G69" s="98">
        <v>-4.16</v>
      </c>
      <c r="H69" s="34">
        <v>6528</v>
      </c>
      <c r="I69" s="98">
        <v>-1.46</v>
      </c>
      <c r="J69" s="34">
        <v>7778</v>
      </c>
      <c r="K69" s="98">
        <v>1.45</v>
      </c>
      <c r="L69" s="34">
        <v>4233</v>
      </c>
      <c r="M69" s="98">
        <v>-4.9000000000000004</v>
      </c>
      <c r="N69" s="34">
        <v>7800</v>
      </c>
      <c r="O69" s="98">
        <v>-0.96</v>
      </c>
      <c r="P69" s="34">
        <v>7193</v>
      </c>
      <c r="Q69" s="98">
        <v>0</v>
      </c>
      <c r="R69" s="41"/>
      <c r="S69" s="42"/>
      <c r="T69" s="41"/>
      <c r="U69" s="42"/>
      <c r="V69" s="41"/>
      <c r="W69" s="42"/>
      <c r="X69" s="41"/>
      <c r="Y69" s="42"/>
    </row>
    <row r="70" spans="1:25" s="40" customFormat="1" ht="12" customHeight="1" x14ac:dyDescent="0.45">
      <c r="A70" s="35" t="s">
        <v>83</v>
      </c>
      <c r="B70" s="36">
        <v>16483</v>
      </c>
      <c r="C70" s="97">
        <v>0.35</v>
      </c>
      <c r="D70" s="121" t="s">
        <v>90</v>
      </c>
      <c r="E70" s="134" t="s">
        <v>91</v>
      </c>
      <c r="F70" s="36">
        <v>12130</v>
      </c>
      <c r="G70" s="97">
        <v>3.74</v>
      </c>
      <c r="H70" s="36">
        <v>17613</v>
      </c>
      <c r="I70" s="97">
        <v>3.07</v>
      </c>
      <c r="J70" s="36">
        <v>19907</v>
      </c>
      <c r="K70" s="97">
        <v>16.690000000000001</v>
      </c>
      <c r="L70" s="36">
        <v>10549</v>
      </c>
      <c r="M70" s="97">
        <v>0.09</v>
      </c>
      <c r="N70" s="36">
        <v>16762</v>
      </c>
      <c r="O70" s="97">
        <v>3.72</v>
      </c>
      <c r="P70" s="36">
        <v>11314</v>
      </c>
      <c r="Q70" s="97">
        <v>0</v>
      </c>
      <c r="S70" s="101"/>
      <c r="U70" s="101"/>
      <c r="W70" s="101"/>
      <c r="Y70" s="101"/>
    </row>
    <row r="71" spans="1:25" x14ac:dyDescent="0.45">
      <c r="A71" s="123" t="s">
        <v>84</v>
      </c>
      <c r="B71" s="124">
        <v>15243</v>
      </c>
      <c r="C71" s="125">
        <v>-0.13</v>
      </c>
      <c r="D71" s="126">
        <v>18702</v>
      </c>
      <c r="E71" s="127">
        <v>4.88</v>
      </c>
      <c r="F71" s="128" t="s">
        <v>90</v>
      </c>
      <c r="G71" s="137" t="s">
        <v>91</v>
      </c>
      <c r="H71" s="124">
        <v>12361</v>
      </c>
      <c r="I71" s="125">
        <v>-9.4</v>
      </c>
      <c r="J71" s="124">
        <v>14624</v>
      </c>
      <c r="K71" s="125">
        <v>0.88</v>
      </c>
      <c r="L71" s="126">
        <v>19007</v>
      </c>
      <c r="M71" s="129">
        <v>3.49</v>
      </c>
      <c r="N71" s="128" t="s">
        <v>90</v>
      </c>
      <c r="O71" s="137" t="s">
        <v>91</v>
      </c>
      <c r="P71" s="124">
        <v>18385</v>
      </c>
      <c r="Q71" s="125">
        <v>0</v>
      </c>
    </row>
    <row r="72" spans="1:25" s="40" customFormat="1" x14ac:dyDescent="0.45">
      <c r="A72" s="15"/>
      <c r="B72" s="34"/>
      <c r="C72" s="98"/>
      <c r="D72" s="122"/>
      <c r="E72" s="100"/>
      <c r="F72" s="120"/>
      <c r="G72" s="83"/>
      <c r="H72" s="34"/>
      <c r="I72" s="98"/>
      <c r="J72" s="34"/>
      <c r="K72" s="98"/>
      <c r="L72" s="122"/>
      <c r="M72" s="116"/>
      <c r="N72" s="120"/>
      <c r="O72" s="130"/>
      <c r="P72" s="34"/>
      <c r="Q72" s="98"/>
      <c r="R72" s="37"/>
      <c r="S72" s="38"/>
      <c r="T72" s="37"/>
      <c r="U72" s="38"/>
      <c r="V72" s="37"/>
      <c r="W72" s="38"/>
      <c r="X72" s="37"/>
      <c r="Y72" s="38"/>
    </row>
    <row r="73" spans="1:25" s="40" customFormat="1" x14ac:dyDescent="0.45">
      <c r="A73" s="24" t="s">
        <v>12</v>
      </c>
      <c r="B73" s="41"/>
      <c r="C73" s="42"/>
      <c r="D73" s="41"/>
      <c r="E73" s="42"/>
      <c r="F73" s="41"/>
      <c r="G73" s="42"/>
      <c r="H73" s="41"/>
      <c r="I73" s="42"/>
      <c r="J73" s="41"/>
      <c r="K73" s="42"/>
      <c r="L73" s="41"/>
      <c r="M73" s="42"/>
      <c r="N73" s="41"/>
      <c r="O73" s="42"/>
      <c r="P73" s="41"/>
      <c r="Q73" s="42"/>
      <c r="R73" s="41"/>
      <c r="S73" s="42"/>
      <c r="T73" s="41"/>
      <c r="U73" s="42"/>
      <c r="V73" s="41"/>
      <c r="W73" s="42"/>
      <c r="X73" s="41"/>
      <c r="Y73" s="42"/>
    </row>
    <row r="74" spans="1:25" s="40" customFormat="1" x14ac:dyDescent="0.45">
      <c r="A74" s="43" t="s">
        <v>13</v>
      </c>
      <c r="B74" s="41"/>
      <c r="C74" s="42"/>
      <c r="D74" s="41"/>
      <c r="E74" s="42"/>
      <c r="F74" s="41"/>
      <c r="G74" s="42"/>
      <c r="H74" s="41"/>
      <c r="I74" s="42"/>
      <c r="J74" s="41"/>
      <c r="K74" s="42"/>
      <c r="L74" s="41"/>
      <c r="M74" s="42"/>
      <c r="N74" s="41"/>
      <c r="O74" s="42"/>
      <c r="P74" s="41"/>
      <c r="Q74" s="42"/>
      <c r="R74" s="41"/>
      <c r="S74" s="42"/>
      <c r="T74" s="41"/>
      <c r="U74" s="42"/>
      <c r="V74" s="41"/>
      <c r="W74" s="42"/>
      <c r="X74" s="41"/>
      <c r="Y74" s="42"/>
    </row>
    <row r="75" spans="1:25" s="40" customFormat="1" ht="19.5" customHeight="1" x14ac:dyDescent="0.45">
      <c r="A75" s="148" t="s">
        <v>50</v>
      </c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</row>
    <row r="76" spans="1:25" s="40" customFormat="1" x14ac:dyDescent="0.45">
      <c r="A76" s="24" t="s">
        <v>14</v>
      </c>
      <c r="B76" s="44"/>
      <c r="C76" s="45"/>
      <c r="D76" s="46"/>
      <c r="E76" s="45"/>
      <c r="F76" s="46"/>
      <c r="G76" s="45"/>
      <c r="H76" s="47"/>
      <c r="I76" s="45"/>
      <c r="J76" s="44"/>
      <c r="K76" s="45"/>
      <c r="L76" s="46"/>
      <c r="M76" s="45"/>
      <c r="N76" s="46"/>
      <c r="O76" s="45"/>
      <c r="P76" s="47"/>
      <c r="Q76" s="45"/>
      <c r="R76" s="46"/>
      <c r="S76" s="48"/>
      <c r="T76" s="46"/>
      <c r="U76" s="48"/>
      <c r="V76" s="46"/>
      <c r="W76" s="48"/>
      <c r="X76" s="46"/>
      <c r="Y76" s="48"/>
    </row>
    <row r="77" spans="1:25" s="40" customFormat="1" x14ac:dyDescent="0.45">
      <c r="A77" s="49" t="s">
        <v>15</v>
      </c>
      <c r="B77" s="41"/>
      <c r="C77" s="42"/>
      <c r="D77" s="41"/>
      <c r="E77" s="42"/>
      <c r="F77" s="41"/>
      <c r="G77" s="42"/>
      <c r="H77" s="41"/>
      <c r="I77" s="42"/>
      <c r="J77" s="41"/>
      <c r="K77" s="42"/>
      <c r="L77" s="41"/>
      <c r="M77" s="42"/>
      <c r="N77" s="41"/>
      <c r="O77" s="42"/>
      <c r="P77" s="41"/>
      <c r="Q77" s="42"/>
      <c r="R77" s="41"/>
      <c r="S77" s="42"/>
      <c r="T77" s="41"/>
      <c r="U77" s="42"/>
      <c r="V77" s="41"/>
      <c r="W77" s="42"/>
      <c r="X77" s="41"/>
      <c r="Y77" s="42"/>
    </row>
    <row r="79" spans="1:25" x14ac:dyDescent="0.45">
      <c r="A79" s="8" t="str">
        <f>+Índice!A14</f>
        <v>Fecha de actualización: 11 de julio de 2023</v>
      </c>
      <c r="B79" s="6"/>
      <c r="C79" s="7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</row>
  </sheetData>
  <mergeCells count="11">
    <mergeCell ref="A75:Y75"/>
    <mergeCell ref="A4:Q5"/>
    <mergeCell ref="H9:I9"/>
    <mergeCell ref="J9:K9"/>
    <mergeCell ref="L9:M9"/>
    <mergeCell ref="N9:O9"/>
    <mergeCell ref="P9:Q9"/>
    <mergeCell ref="A9:A10"/>
    <mergeCell ref="B9:C9"/>
    <mergeCell ref="D9:E9"/>
    <mergeCell ref="F9:G9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012-A8C4-4438-9A11-59B020FA0AB4}">
  <dimension ref="A1:I55"/>
  <sheetViews>
    <sheetView showGridLines="0" topLeftCell="A7" workbookViewId="0">
      <selection activeCell="B11" sqref="B11:I45"/>
    </sheetView>
  </sheetViews>
  <sheetFormatPr baseColWidth="10" defaultColWidth="11.453125" defaultRowHeight="16" x14ac:dyDescent="0.45"/>
  <cols>
    <col min="1" max="1" width="24.453125" style="56" customWidth="1"/>
    <col min="2" max="2" width="12" style="56" bestFit="1" customWidth="1"/>
    <col min="3" max="3" width="9.453125" style="56" customWidth="1"/>
    <col min="4" max="4" width="13.54296875" style="56" bestFit="1" customWidth="1"/>
    <col min="5" max="5" width="12" style="56" customWidth="1"/>
    <col min="6" max="6" width="10.26953125" style="56" customWidth="1"/>
    <col min="7" max="7" width="9.453125" style="56" customWidth="1"/>
    <col min="8" max="8" width="10.54296875" style="56" customWidth="1"/>
    <col min="9" max="9" width="9.26953125" style="56" customWidth="1"/>
    <col min="10" max="16384" width="11.453125" style="56"/>
  </cols>
  <sheetData>
    <row r="1" spans="1:9" s="50" customFormat="1" ht="14" customHeight="1" x14ac:dyDescent="0.4"/>
    <row r="2" spans="1:9" s="50" customFormat="1" ht="33" customHeight="1" x14ac:dyDescent="0.4"/>
    <row r="3" spans="1:9" s="50" customFormat="1" ht="19" customHeight="1" x14ac:dyDescent="0.4"/>
    <row r="4" spans="1:9" s="50" customFormat="1" ht="18.75" customHeight="1" x14ac:dyDescent="0.4">
      <c r="A4" s="155" t="s">
        <v>0</v>
      </c>
      <c r="B4" s="155"/>
      <c r="C4" s="155"/>
      <c r="D4" s="155"/>
      <c r="E4" s="155"/>
      <c r="F4" s="155"/>
      <c r="G4" s="155"/>
      <c r="H4" s="155"/>
      <c r="I4" s="155"/>
    </row>
    <row r="5" spans="1:9" s="50" customFormat="1" ht="24" customHeight="1" x14ac:dyDescent="0.4">
      <c r="A5" s="155"/>
      <c r="B5" s="155"/>
      <c r="C5" s="155"/>
      <c r="D5" s="155"/>
      <c r="E5" s="155"/>
      <c r="F5" s="155"/>
      <c r="G5" s="155"/>
      <c r="H5" s="155"/>
      <c r="I5" s="155"/>
    </row>
    <row r="6" spans="1:9" s="50" customFormat="1" ht="18.75" customHeight="1" x14ac:dyDescent="0.4">
      <c r="A6" s="51" t="s">
        <v>16</v>
      </c>
      <c r="B6" s="52"/>
      <c r="C6" s="52"/>
      <c r="D6" s="52"/>
      <c r="E6" s="52"/>
      <c r="F6" s="52"/>
      <c r="G6" s="52"/>
      <c r="H6" s="52"/>
      <c r="I6" s="52"/>
    </row>
    <row r="7" spans="1:9" s="50" customFormat="1" ht="15" customHeight="1" x14ac:dyDescent="0.4">
      <c r="A7" s="51" t="s">
        <v>88</v>
      </c>
      <c r="B7" s="52"/>
      <c r="C7" s="52"/>
      <c r="D7" s="52"/>
      <c r="E7" s="52"/>
      <c r="F7" s="52"/>
      <c r="G7" s="52"/>
      <c r="H7" s="52"/>
      <c r="I7" s="52"/>
    </row>
    <row r="8" spans="1:9" s="50" customFormat="1" ht="14" x14ac:dyDescent="0.4"/>
    <row r="9" spans="1:9" x14ac:dyDescent="0.45">
      <c r="A9" s="53" t="s">
        <v>51</v>
      </c>
      <c r="B9" s="54" t="s">
        <v>2</v>
      </c>
      <c r="C9" s="54" t="s">
        <v>3</v>
      </c>
      <c r="D9" s="54" t="s">
        <v>4</v>
      </c>
      <c r="E9" s="55" t="s">
        <v>5</v>
      </c>
      <c r="F9" s="54" t="s">
        <v>6</v>
      </c>
      <c r="G9" s="54" t="s">
        <v>7</v>
      </c>
      <c r="H9" s="54" t="s">
        <v>8</v>
      </c>
      <c r="I9" s="54" t="s">
        <v>9</v>
      </c>
    </row>
    <row r="10" spans="1:9" ht="14" customHeight="1" x14ac:dyDescent="0.45">
      <c r="A10" s="57" t="s">
        <v>17</v>
      </c>
      <c r="B10" s="57"/>
      <c r="C10" s="57"/>
      <c r="D10" s="57"/>
      <c r="E10" s="57"/>
      <c r="F10" s="57"/>
      <c r="G10" s="57"/>
      <c r="H10" s="57"/>
      <c r="I10" s="57"/>
    </row>
    <row r="11" spans="1:9" ht="14" customHeight="1" x14ac:dyDescent="0.45">
      <c r="A11" s="1" t="s">
        <v>18</v>
      </c>
      <c r="B11" s="86" t="s">
        <v>91</v>
      </c>
      <c r="C11" s="58">
        <v>-38.428693424423578</v>
      </c>
      <c r="D11" s="58">
        <v>-32.395382395382391</v>
      </c>
      <c r="E11" s="86" t="s">
        <v>91</v>
      </c>
      <c r="F11" s="58">
        <v>-37.037037037037045</v>
      </c>
      <c r="G11" s="58">
        <v>-33.241303147432355</v>
      </c>
      <c r="H11" s="58">
        <v>-35.270700636942685</v>
      </c>
      <c r="I11" s="58">
        <v>-16.117435590173756</v>
      </c>
    </row>
    <row r="12" spans="1:9" ht="14" customHeight="1" x14ac:dyDescent="0.45">
      <c r="A12" s="105" t="s">
        <v>19</v>
      </c>
      <c r="B12" s="60">
        <v>6.0648049456405895</v>
      </c>
      <c r="C12" s="60">
        <v>-2.1850366477665917</v>
      </c>
      <c r="D12" s="60">
        <v>28.693528693528727</v>
      </c>
      <c r="E12" s="84" t="s">
        <v>91</v>
      </c>
      <c r="F12" s="60">
        <v>2.7486495074674044</v>
      </c>
      <c r="G12" s="60">
        <v>-5.6827240633185223</v>
      </c>
      <c r="H12" s="60">
        <v>-32.125317527519051</v>
      </c>
      <c r="I12" s="144" t="s">
        <v>91</v>
      </c>
    </row>
    <row r="13" spans="1:9" ht="14" customHeight="1" x14ac:dyDescent="0.45">
      <c r="A13" s="1" t="s">
        <v>20</v>
      </c>
      <c r="B13" s="58">
        <v>-70.208038780044433</v>
      </c>
      <c r="C13" s="58">
        <v>-76.258670843589172</v>
      </c>
      <c r="D13" s="58">
        <v>-70.109356014580797</v>
      </c>
      <c r="E13" s="58">
        <v>-70.239076669414672</v>
      </c>
      <c r="F13" s="58">
        <v>-69.439868204283357</v>
      </c>
      <c r="G13" s="58">
        <v>-74.747908174211531</v>
      </c>
      <c r="H13" s="58">
        <v>-75.552458690025887</v>
      </c>
      <c r="I13" s="58">
        <v>-72.010813058848001</v>
      </c>
    </row>
    <row r="14" spans="1:9" ht="14" customHeight="1" x14ac:dyDescent="0.45">
      <c r="A14" s="105" t="s">
        <v>21</v>
      </c>
      <c r="B14" s="61">
        <v>-31.988575508746862</v>
      </c>
      <c r="C14" s="60">
        <v>-18.344657195799886</v>
      </c>
      <c r="D14" s="60">
        <v>-42.000844238075139</v>
      </c>
      <c r="E14" s="84" t="s">
        <v>91</v>
      </c>
      <c r="F14" s="65">
        <v>5.1218504750103255</v>
      </c>
      <c r="G14" s="60">
        <v>-49.810964083175804</v>
      </c>
      <c r="H14" s="60">
        <v>-24.000000000000011</v>
      </c>
      <c r="I14" s="60">
        <v>-16.448445171849425</v>
      </c>
    </row>
    <row r="15" spans="1:9" ht="14" customHeight="1" x14ac:dyDescent="0.45">
      <c r="A15" s="1" t="s">
        <v>22</v>
      </c>
      <c r="B15" s="86" t="s">
        <v>91</v>
      </c>
      <c r="C15" s="58">
        <v>-41.909325469959455</v>
      </c>
      <c r="D15" s="58">
        <v>-7.523739956172415</v>
      </c>
      <c r="E15" s="58">
        <v>29.54198473282441</v>
      </c>
      <c r="F15" s="58">
        <v>-2.025782688766109</v>
      </c>
      <c r="G15" s="58">
        <v>21.419270833333325</v>
      </c>
      <c r="H15" s="58">
        <v>9.0727151434289546</v>
      </c>
      <c r="I15" s="85" t="s">
        <v>91</v>
      </c>
    </row>
    <row r="16" spans="1:9" ht="14" customHeight="1" x14ac:dyDescent="0.45">
      <c r="A16" s="105" t="s">
        <v>23</v>
      </c>
      <c r="B16" s="60">
        <v>-16.958479239619816</v>
      </c>
      <c r="C16" s="60">
        <v>-15.213062524890486</v>
      </c>
      <c r="D16" s="60">
        <v>-6.7524115755626779</v>
      </c>
      <c r="E16" s="60">
        <v>-17.956806600339725</v>
      </c>
      <c r="F16" s="60">
        <v>23.927670311185835</v>
      </c>
      <c r="G16" s="60">
        <v>-8.8736333587592142</v>
      </c>
      <c r="H16" s="60">
        <v>-52.057182705718262</v>
      </c>
      <c r="I16" s="60">
        <v>-27.097089752995839</v>
      </c>
    </row>
    <row r="17" spans="1:9" ht="14" customHeight="1" x14ac:dyDescent="0.45">
      <c r="A17" s="1" t="s">
        <v>24</v>
      </c>
      <c r="B17" s="58">
        <v>-12.299239222316139</v>
      </c>
      <c r="C17" s="58">
        <v>-40.185950413223146</v>
      </c>
      <c r="D17" s="58">
        <v>-38.116392714349189</v>
      </c>
      <c r="E17" s="58">
        <v>-24.655244463017144</v>
      </c>
      <c r="F17" s="58">
        <v>6.6500415627597675</v>
      </c>
      <c r="G17" s="58">
        <v>-30.08271658685241</v>
      </c>
      <c r="H17" s="58">
        <v>-34.12228796844181</v>
      </c>
      <c r="I17" s="58">
        <v>5.0027793218454741</v>
      </c>
    </row>
    <row r="18" spans="1:9" ht="14" customHeight="1" x14ac:dyDescent="0.45">
      <c r="A18" s="105" t="s">
        <v>25</v>
      </c>
      <c r="B18" s="60">
        <v>-51.072607260726087</v>
      </c>
      <c r="C18" s="60">
        <v>-38.837638376383786</v>
      </c>
      <c r="D18" s="60">
        <v>-44.209956709956714</v>
      </c>
      <c r="E18" s="60">
        <v>-49.163257716623256</v>
      </c>
      <c r="F18" s="60">
        <v>-58.117550349362922</v>
      </c>
      <c r="G18" s="60">
        <v>-16.09195402298851</v>
      </c>
      <c r="H18" s="60">
        <v>-55.641547861507121</v>
      </c>
      <c r="I18" s="60">
        <v>-50.310344827586192</v>
      </c>
    </row>
    <row r="19" spans="1:9" ht="14" customHeight="1" x14ac:dyDescent="0.45">
      <c r="A19" s="1" t="s">
        <v>26</v>
      </c>
      <c r="B19" s="58">
        <v>-41.548183254344394</v>
      </c>
      <c r="C19" s="58">
        <v>-47.305389221556879</v>
      </c>
      <c r="D19" s="58">
        <v>-41.705790297339604</v>
      </c>
      <c r="E19" s="58">
        <v>-46.009249589735944</v>
      </c>
      <c r="F19" s="58">
        <v>-30.311471258546486</v>
      </c>
      <c r="G19" s="58">
        <v>-40.063029348040182</v>
      </c>
      <c r="H19" s="58">
        <v>-57.006692354491982</v>
      </c>
      <c r="I19" s="58">
        <v>-40.117302052785917</v>
      </c>
    </row>
    <row r="20" spans="1:9" ht="14" customHeight="1" x14ac:dyDescent="0.45">
      <c r="A20" s="105" t="s">
        <v>27</v>
      </c>
      <c r="B20" s="60">
        <v>-48.014059753954307</v>
      </c>
      <c r="C20" s="60">
        <v>-51.760402377686333</v>
      </c>
      <c r="D20" s="60">
        <v>-34.231378763866871</v>
      </c>
      <c r="E20" s="60">
        <v>-41.409691629955944</v>
      </c>
      <c r="F20" s="60">
        <v>-39.519469759734882</v>
      </c>
      <c r="G20" s="60">
        <v>-49.71819645732689</v>
      </c>
      <c r="H20" s="60">
        <v>-65.839610101905194</v>
      </c>
      <c r="I20" s="88">
        <v>-35.567190226876086</v>
      </c>
    </row>
    <row r="21" spans="1:9" ht="14" customHeight="1" x14ac:dyDescent="0.45">
      <c r="A21" s="1" t="s">
        <v>28</v>
      </c>
      <c r="B21" s="58">
        <v>-37.442396313364043</v>
      </c>
      <c r="C21" s="58">
        <v>-28.894719580190241</v>
      </c>
      <c r="D21" s="58">
        <v>-32.54875588433088</v>
      </c>
      <c r="E21" s="86" t="s">
        <v>91</v>
      </c>
      <c r="F21" s="62">
        <v>-28.271640921014296</v>
      </c>
      <c r="G21" s="62">
        <v>-42.451838879159389</v>
      </c>
      <c r="H21" s="58">
        <v>-50.546101092202179</v>
      </c>
      <c r="I21" s="58">
        <v>-30.425721941053872</v>
      </c>
    </row>
    <row r="22" spans="1:9" ht="14" customHeight="1" x14ac:dyDescent="0.45">
      <c r="A22" s="106" t="s">
        <v>29</v>
      </c>
      <c r="B22" s="117" t="s">
        <v>91</v>
      </c>
      <c r="C22" s="64">
        <v>-10.648769574944051</v>
      </c>
      <c r="D22" s="64">
        <v>-4.9131513647642784</v>
      </c>
      <c r="E22" s="64">
        <v>-7.4599542334096043</v>
      </c>
      <c r="F22" s="64">
        <v>-5.8823529411764719</v>
      </c>
      <c r="G22" s="64">
        <v>-39.864209505334628</v>
      </c>
      <c r="H22" s="64">
        <v>-46.015936254980083</v>
      </c>
      <c r="I22" s="89">
        <v>-14.916885389326328</v>
      </c>
    </row>
    <row r="23" spans="1:9" ht="14" customHeight="1" x14ac:dyDescent="0.45">
      <c r="A23" s="107" t="s">
        <v>30</v>
      </c>
      <c r="B23" s="158"/>
      <c r="C23" s="158"/>
      <c r="D23" s="158"/>
      <c r="E23" s="158"/>
      <c r="F23" s="158"/>
      <c r="G23" s="158"/>
      <c r="H23" s="158"/>
      <c r="I23" s="158"/>
    </row>
    <row r="24" spans="1:9" ht="14" customHeight="1" x14ac:dyDescent="0.45">
      <c r="A24" s="1" t="s">
        <v>49</v>
      </c>
      <c r="B24" s="86" t="s">
        <v>91</v>
      </c>
      <c r="C24" s="58">
        <v>-14.4092963202066</v>
      </c>
      <c r="D24" s="86" t="s">
        <v>91</v>
      </c>
      <c r="E24" s="86" t="s">
        <v>91</v>
      </c>
      <c r="F24" s="62">
        <v>-21.469082860699963</v>
      </c>
      <c r="G24" s="85" t="s">
        <v>91</v>
      </c>
      <c r="H24" s="58">
        <v>-29.902994517081392</v>
      </c>
      <c r="I24" s="62">
        <v>-23.849315068493148</v>
      </c>
    </row>
    <row r="25" spans="1:9" ht="14" customHeight="1" x14ac:dyDescent="0.45">
      <c r="A25" s="105" t="s">
        <v>31</v>
      </c>
      <c r="B25" s="60">
        <v>-9.375</v>
      </c>
      <c r="C25" s="60">
        <v>6.6240292370945308</v>
      </c>
      <c r="D25" s="60">
        <v>-2.6044492674986319</v>
      </c>
      <c r="E25" s="84" t="s">
        <v>91</v>
      </c>
      <c r="F25" s="60">
        <v>7.4887023886378579</v>
      </c>
      <c r="G25" s="60">
        <v>0.73059360730594047</v>
      </c>
      <c r="H25" s="60">
        <v>5.3637484586929851</v>
      </c>
      <c r="I25" s="60">
        <v>0.8310249307479145</v>
      </c>
    </row>
    <row r="26" spans="1:9" ht="14" customHeight="1" x14ac:dyDescent="0.45">
      <c r="A26" s="1" t="s">
        <v>32</v>
      </c>
      <c r="B26" s="62">
        <v>-6.7639257294429767</v>
      </c>
      <c r="C26" s="58">
        <v>29.836406128278405</v>
      </c>
      <c r="D26" s="86" t="s">
        <v>91</v>
      </c>
      <c r="E26" s="58">
        <v>-2.083333333333337</v>
      </c>
      <c r="F26" s="58">
        <v>31.811697574893017</v>
      </c>
      <c r="G26" s="86" t="s">
        <v>91</v>
      </c>
      <c r="H26" s="58">
        <v>-2.4758454106280192</v>
      </c>
      <c r="I26" s="62">
        <v>9.2632140950346997</v>
      </c>
    </row>
    <row r="27" spans="1:9" ht="14" customHeight="1" x14ac:dyDescent="0.45">
      <c r="A27" s="105" t="s">
        <v>33</v>
      </c>
      <c r="B27" s="84" t="s">
        <v>91</v>
      </c>
      <c r="C27" s="60">
        <v>25.700404858299585</v>
      </c>
      <c r="D27" s="60">
        <v>27.003009889637397</v>
      </c>
      <c r="E27" s="87" t="s">
        <v>91</v>
      </c>
      <c r="F27" s="65">
        <v>24.79386385426654</v>
      </c>
      <c r="G27" s="87" t="s">
        <v>91</v>
      </c>
      <c r="H27" s="60">
        <v>23.594688011642685</v>
      </c>
      <c r="I27" s="60">
        <v>29.274395329441226</v>
      </c>
    </row>
    <row r="28" spans="1:9" ht="14" customHeight="1" x14ac:dyDescent="0.45">
      <c r="A28" s="1" t="s">
        <v>34</v>
      </c>
      <c r="B28" s="58">
        <v>27.42150968603876</v>
      </c>
      <c r="C28" s="58">
        <v>92.041522491349539</v>
      </c>
      <c r="D28" s="58">
        <v>-1.6048699501936992</v>
      </c>
      <c r="E28" s="58">
        <v>8.5369827305310952</v>
      </c>
      <c r="F28" s="62">
        <v>28.392484342379952</v>
      </c>
      <c r="G28" s="58">
        <v>37.944025834230331</v>
      </c>
      <c r="H28" s="58">
        <v>7.7522737115634399</v>
      </c>
      <c r="I28" s="58">
        <v>17.620927936821328</v>
      </c>
    </row>
    <row r="29" spans="1:9" ht="14" customHeight="1" x14ac:dyDescent="0.45">
      <c r="A29" s="105" t="s">
        <v>52</v>
      </c>
      <c r="B29" s="65">
        <v>1.3803899245766527</v>
      </c>
      <c r="C29" s="87" t="s">
        <v>91</v>
      </c>
      <c r="D29" s="60">
        <v>-61.830508474576277</v>
      </c>
      <c r="E29" s="60">
        <v>-33.04751697034655</v>
      </c>
      <c r="F29" s="87" t="s">
        <v>91</v>
      </c>
      <c r="G29" s="65">
        <v>-46.047028328087379</v>
      </c>
      <c r="H29" s="60">
        <v>-34.361610968294762</v>
      </c>
      <c r="I29" s="60">
        <v>-14.61111111111112</v>
      </c>
    </row>
    <row r="30" spans="1:9" ht="14" customHeight="1" x14ac:dyDescent="0.45">
      <c r="A30" s="1" t="s">
        <v>35</v>
      </c>
      <c r="B30" s="58">
        <v>11.528773493509004</v>
      </c>
      <c r="C30" s="58">
        <v>17.193486590038297</v>
      </c>
      <c r="D30" s="58">
        <v>12.673081436282562</v>
      </c>
      <c r="E30" s="58">
        <v>8.4550944866549784</v>
      </c>
      <c r="F30" s="58">
        <v>21.221416620189615</v>
      </c>
      <c r="G30" s="58">
        <v>17.002237136465382</v>
      </c>
      <c r="H30" s="58">
        <v>13.901345291479839</v>
      </c>
      <c r="I30" s="58">
        <v>9.9082568807339335</v>
      </c>
    </row>
    <row r="31" spans="1:9" ht="14" customHeight="1" x14ac:dyDescent="0.45">
      <c r="A31" s="105" t="s">
        <v>36</v>
      </c>
      <c r="B31" s="60">
        <v>144.89034064395719</v>
      </c>
      <c r="C31" s="60">
        <v>161.58469945355182</v>
      </c>
      <c r="D31" s="60">
        <v>192.26586102719034</v>
      </c>
      <c r="E31" s="144" t="s">
        <v>91</v>
      </c>
      <c r="F31" s="65">
        <v>48.49624060150375</v>
      </c>
      <c r="G31" s="60">
        <v>219.56135151155905</v>
      </c>
      <c r="H31" s="60">
        <v>164.81655691439317</v>
      </c>
      <c r="I31" s="60">
        <v>27.664974619289385</v>
      </c>
    </row>
    <row r="32" spans="1:9" ht="14" customHeight="1" x14ac:dyDescent="0.45">
      <c r="A32" s="1" t="s">
        <v>37</v>
      </c>
      <c r="B32" s="66">
        <v>-9.2145015105740136</v>
      </c>
      <c r="C32" s="159">
        <v>79.827089337175778</v>
      </c>
      <c r="D32" s="58">
        <v>45.320476460578533</v>
      </c>
      <c r="E32" s="85" t="s">
        <v>91</v>
      </c>
      <c r="F32" s="58">
        <v>88.285570638511786</v>
      </c>
      <c r="G32" s="58">
        <v>10.842880523731591</v>
      </c>
      <c r="H32" s="58">
        <v>77.548387096774206</v>
      </c>
      <c r="I32" s="160">
        <v>73.953488372093005</v>
      </c>
    </row>
    <row r="33" spans="1:9" ht="14" customHeight="1" x14ac:dyDescent="0.45">
      <c r="A33" s="105" t="s">
        <v>53</v>
      </c>
      <c r="B33" s="87" t="s">
        <v>91</v>
      </c>
      <c r="C33" s="60">
        <v>0.45891141942369096</v>
      </c>
      <c r="D33" s="60">
        <v>4.0124565816265223</v>
      </c>
      <c r="E33" s="60">
        <v>1.4223445744436791</v>
      </c>
      <c r="F33" s="60">
        <v>0.85439229843562448</v>
      </c>
      <c r="G33" s="60">
        <v>-2.4577082668368888</v>
      </c>
      <c r="H33" s="60">
        <v>-3.8094155105754202</v>
      </c>
      <c r="I33" s="60">
        <v>5.042958535674269</v>
      </c>
    </row>
    <row r="34" spans="1:9" ht="14" customHeight="1" x14ac:dyDescent="0.45">
      <c r="A34" s="1" t="s">
        <v>38</v>
      </c>
      <c r="B34" s="86" t="s">
        <v>91</v>
      </c>
      <c r="C34" s="58">
        <v>7.6266015863331704</v>
      </c>
      <c r="D34" s="58">
        <v>-3.4358047016274873</v>
      </c>
      <c r="E34" s="86" t="s">
        <v>91</v>
      </c>
      <c r="F34" s="58">
        <v>11.855823652070319</v>
      </c>
      <c r="G34" s="58">
        <v>-15.797136617325879</v>
      </c>
      <c r="H34" s="58">
        <v>27.212732919254655</v>
      </c>
      <c r="I34" s="58">
        <v>-3.2683328755836571</v>
      </c>
    </row>
    <row r="35" spans="1:9" ht="14" customHeight="1" x14ac:dyDescent="0.45">
      <c r="A35" s="105" t="s">
        <v>39</v>
      </c>
      <c r="B35" s="60">
        <v>25.769141799676156</v>
      </c>
      <c r="C35" s="60">
        <v>30.756533700137577</v>
      </c>
      <c r="D35" s="60">
        <v>55.747558226897077</v>
      </c>
      <c r="E35" s="60">
        <v>35.431106182423044</v>
      </c>
      <c r="F35" s="60">
        <v>40.620782726045881</v>
      </c>
      <c r="G35" s="60">
        <v>44.911660777385151</v>
      </c>
      <c r="H35" s="60">
        <v>29.888059701492551</v>
      </c>
      <c r="I35" s="60">
        <v>20.903812168644276</v>
      </c>
    </row>
    <row r="36" spans="1:9" ht="14" customHeight="1" x14ac:dyDescent="0.45">
      <c r="A36" s="1" t="s">
        <v>40</v>
      </c>
      <c r="B36" s="161" t="s">
        <v>91</v>
      </c>
      <c r="C36" s="58">
        <v>52.592592592592609</v>
      </c>
      <c r="D36" s="58">
        <v>93.8430983118173</v>
      </c>
      <c r="E36" s="86" t="s">
        <v>91</v>
      </c>
      <c r="F36" s="85" t="s">
        <v>91</v>
      </c>
      <c r="G36" s="86" t="s">
        <v>91</v>
      </c>
      <c r="H36" s="58">
        <v>54.740904079382524</v>
      </c>
      <c r="I36" s="58">
        <v>46.624022743425698</v>
      </c>
    </row>
    <row r="37" spans="1:9" ht="14" customHeight="1" x14ac:dyDescent="0.45">
      <c r="A37" s="105" t="s">
        <v>54</v>
      </c>
      <c r="B37" s="84" t="s">
        <v>91</v>
      </c>
      <c r="C37" s="87" t="s">
        <v>91</v>
      </c>
      <c r="D37" s="60">
        <v>20.425321463897127</v>
      </c>
      <c r="E37" s="87" t="s">
        <v>91</v>
      </c>
      <c r="F37" s="60">
        <v>3.5801863658656119</v>
      </c>
      <c r="G37" s="60">
        <v>43.876567020250711</v>
      </c>
      <c r="H37" s="60">
        <v>4.1363462274990326</v>
      </c>
      <c r="I37" s="60">
        <v>6.0150375939849621</v>
      </c>
    </row>
    <row r="38" spans="1:9" ht="14" customHeight="1" x14ac:dyDescent="0.45">
      <c r="A38" s="1" t="s">
        <v>41</v>
      </c>
      <c r="B38" s="58">
        <v>-0.16722408026755842</v>
      </c>
      <c r="C38" s="58">
        <v>6.7443286327406593</v>
      </c>
      <c r="D38" s="58">
        <v>5.0212164073550447</v>
      </c>
      <c r="E38" s="86" t="s">
        <v>91</v>
      </c>
      <c r="F38" s="86" t="s">
        <v>91</v>
      </c>
      <c r="G38" s="58">
        <v>-5.4096638655461877</v>
      </c>
      <c r="H38" s="86" t="s">
        <v>91</v>
      </c>
      <c r="I38" s="86" t="s">
        <v>91</v>
      </c>
    </row>
    <row r="39" spans="1:9" ht="14" customHeight="1" x14ac:dyDescent="0.45">
      <c r="A39" s="106" t="s">
        <v>42</v>
      </c>
      <c r="B39" s="64">
        <v>101.98587819947052</v>
      </c>
      <c r="C39" s="64">
        <v>54.837414692894448</v>
      </c>
      <c r="D39" s="64">
        <v>99.776984834968758</v>
      </c>
      <c r="E39" s="64">
        <v>84.671814671814658</v>
      </c>
      <c r="F39" s="64">
        <v>105.59179869524699</v>
      </c>
      <c r="G39" s="67">
        <v>26.13050075872534</v>
      </c>
      <c r="H39" s="64">
        <v>106.4629258517034</v>
      </c>
      <c r="I39" s="64">
        <v>98.57414448669202</v>
      </c>
    </row>
    <row r="40" spans="1:9" ht="14" customHeight="1" x14ac:dyDescent="0.45">
      <c r="A40" s="107" t="s">
        <v>43</v>
      </c>
      <c r="B40" s="158"/>
      <c r="C40" s="158"/>
      <c r="D40" s="158"/>
      <c r="E40" s="158"/>
      <c r="F40" s="158"/>
      <c r="G40" s="158"/>
      <c r="H40" s="158"/>
      <c r="I40" s="158"/>
    </row>
    <row r="41" spans="1:9" ht="14" customHeight="1" x14ac:dyDescent="0.45">
      <c r="A41" s="1" t="s">
        <v>44</v>
      </c>
      <c r="B41" s="85" t="s">
        <v>91</v>
      </c>
      <c r="C41" s="58">
        <v>-23.801613668723299</v>
      </c>
      <c r="D41" s="58">
        <v>18.423383525243576</v>
      </c>
      <c r="E41" s="85" t="s">
        <v>91</v>
      </c>
      <c r="F41" s="58">
        <v>-12.957886867680045</v>
      </c>
      <c r="G41" s="58">
        <v>24.080749819754853</v>
      </c>
      <c r="H41" s="58">
        <v>-5.0397877984084687</v>
      </c>
      <c r="I41" s="62">
        <v>-3.0865630076583939</v>
      </c>
    </row>
    <row r="42" spans="1:9" ht="14" customHeight="1" x14ac:dyDescent="0.45">
      <c r="A42" s="105" t="s">
        <v>45</v>
      </c>
      <c r="B42" s="60">
        <v>-24.597918637653727</v>
      </c>
      <c r="C42" s="60">
        <v>-32.213930348258714</v>
      </c>
      <c r="D42" s="60">
        <v>-32.838353839626642</v>
      </c>
      <c r="E42" s="60">
        <v>-47.85014899957428</v>
      </c>
      <c r="F42" s="60">
        <v>-55.768446799836937</v>
      </c>
      <c r="G42" s="87" t="s">
        <v>91</v>
      </c>
      <c r="H42" s="60">
        <v>-48.09850374064839</v>
      </c>
      <c r="I42" s="60">
        <v>-49.785816277962866</v>
      </c>
    </row>
    <row r="43" spans="1:9" ht="14" customHeight="1" x14ac:dyDescent="0.45">
      <c r="A43" s="1" t="s">
        <v>55</v>
      </c>
      <c r="B43" s="86" t="s">
        <v>91</v>
      </c>
      <c r="C43" s="58">
        <v>3.483549903234695</v>
      </c>
      <c r="D43" s="58">
        <v>-1.0625255414793533</v>
      </c>
      <c r="E43" s="58">
        <v>7.7162238552854978</v>
      </c>
      <c r="F43" s="58">
        <v>6.9830508474576058</v>
      </c>
      <c r="G43" s="58">
        <v>-12.369337979094064</v>
      </c>
      <c r="H43" s="58">
        <v>-17.823395242750106</v>
      </c>
      <c r="I43" s="58">
        <v>-1.2524719841793153</v>
      </c>
    </row>
    <row r="44" spans="1:9" ht="14" customHeight="1" x14ac:dyDescent="0.45">
      <c r="A44" s="105" t="s">
        <v>46</v>
      </c>
      <c r="B44" s="60">
        <v>6.1316501352570052</v>
      </c>
      <c r="C44" s="60">
        <v>-26.086956521739125</v>
      </c>
      <c r="D44" s="60">
        <v>-20.902067237419086</v>
      </c>
      <c r="E44" s="60">
        <v>22.357343311506071</v>
      </c>
      <c r="F44" s="60">
        <v>7.4392523364486207</v>
      </c>
      <c r="G44" s="60">
        <v>-29.694137638062866</v>
      </c>
      <c r="H44" s="60">
        <v>3.457359236088231</v>
      </c>
      <c r="I44" s="60">
        <v>2.6656511805026817</v>
      </c>
    </row>
    <row r="45" spans="1:9" ht="14" customHeight="1" x14ac:dyDescent="0.45">
      <c r="A45" s="108" t="s">
        <v>47</v>
      </c>
      <c r="B45" s="69">
        <v>19.52095808383234</v>
      </c>
      <c r="C45" s="69">
        <v>-24.1580310880829</v>
      </c>
      <c r="D45" s="69">
        <v>-31.649831649831661</v>
      </c>
      <c r="E45" s="69">
        <v>24.699599465954613</v>
      </c>
      <c r="F45" s="69">
        <v>-37.050105857445317</v>
      </c>
      <c r="G45" s="69">
        <v>-26.999432785025522</v>
      </c>
      <c r="H45" s="69">
        <v>-21.080000000000009</v>
      </c>
      <c r="I45" s="69">
        <v>-35.983876877977295</v>
      </c>
    </row>
    <row r="46" spans="1:9" x14ac:dyDescent="0.45">
      <c r="A46" s="50"/>
      <c r="B46" s="58"/>
      <c r="C46" s="58"/>
      <c r="D46" s="58"/>
      <c r="E46" s="58"/>
      <c r="F46" s="58"/>
      <c r="G46" s="58"/>
      <c r="H46" s="58"/>
      <c r="I46" s="58"/>
    </row>
    <row r="47" spans="1:9" x14ac:dyDescent="0.45">
      <c r="A47" s="70" t="s">
        <v>12</v>
      </c>
      <c r="B47" s="71"/>
      <c r="C47" s="72"/>
      <c r="D47" s="72"/>
      <c r="E47" s="71"/>
      <c r="F47" s="72"/>
      <c r="G47" s="72"/>
      <c r="H47" s="72"/>
      <c r="I47" s="72"/>
    </row>
    <row r="48" spans="1:9" x14ac:dyDescent="0.45">
      <c r="A48" s="73" t="s">
        <v>57</v>
      </c>
      <c r="B48" s="73"/>
      <c r="C48" s="73"/>
      <c r="D48" s="73"/>
      <c r="E48" s="73"/>
      <c r="F48" s="73"/>
      <c r="G48" s="73"/>
      <c r="H48" s="73"/>
      <c r="I48" s="73"/>
    </row>
    <row r="49" spans="1:9" x14ac:dyDescent="0.45">
      <c r="A49" s="74" t="s">
        <v>14</v>
      </c>
      <c r="B49" s="71"/>
      <c r="C49" s="72"/>
      <c r="D49" s="72"/>
      <c r="E49" s="71"/>
      <c r="F49" s="72"/>
      <c r="G49" s="72"/>
      <c r="H49" s="72"/>
      <c r="I49" s="72"/>
    </row>
    <row r="50" spans="1:9" x14ac:dyDescent="0.45">
      <c r="A50" s="75" t="s">
        <v>15</v>
      </c>
      <c r="B50" s="76"/>
      <c r="C50" s="76"/>
      <c r="D50" s="76"/>
      <c r="E50" s="76"/>
      <c r="F50" s="76"/>
      <c r="G50" s="76"/>
      <c r="H50" s="76"/>
      <c r="I50" s="76"/>
    </row>
    <row r="51" spans="1:9" x14ac:dyDescent="0.45">
      <c r="A51" s="75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7" t="str">
        <f>+Índice!A14</f>
        <v>Fecha de actualización: 11 de julio de 2023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5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5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5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5B01-133B-4735-A10B-A521B9ED8989}">
  <dimension ref="A1:I55"/>
  <sheetViews>
    <sheetView showGridLines="0" workbookViewId="0">
      <selection activeCell="A6" sqref="A6"/>
    </sheetView>
  </sheetViews>
  <sheetFormatPr baseColWidth="10" defaultColWidth="11.453125" defaultRowHeight="16" x14ac:dyDescent="0.45"/>
  <cols>
    <col min="1" max="1" width="24.453125" style="56" customWidth="1"/>
    <col min="2" max="2" width="12" style="56" bestFit="1" customWidth="1"/>
    <col min="3" max="3" width="9.453125" style="56" customWidth="1"/>
    <col min="4" max="4" width="13.54296875" style="56" bestFit="1" customWidth="1"/>
    <col min="5" max="5" width="12" style="56" customWidth="1"/>
    <col min="6" max="6" width="10.26953125" style="56" customWidth="1"/>
    <col min="7" max="7" width="9.453125" style="56" customWidth="1"/>
    <col min="8" max="8" width="10.54296875" style="56" customWidth="1"/>
    <col min="9" max="9" width="9.26953125" style="56" customWidth="1"/>
    <col min="10" max="16384" width="11.453125" style="56"/>
  </cols>
  <sheetData>
    <row r="1" spans="1:9" s="50" customFormat="1" ht="14" customHeight="1" x14ac:dyDescent="0.4"/>
    <row r="2" spans="1:9" s="50" customFormat="1" ht="33" customHeight="1" x14ac:dyDescent="0.4"/>
    <row r="3" spans="1:9" s="50" customFormat="1" ht="19" customHeight="1" x14ac:dyDescent="0.4"/>
    <row r="4" spans="1:9" s="50" customFormat="1" ht="18.75" customHeight="1" x14ac:dyDescent="0.4">
      <c r="A4" s="155" t="s">
        <v>0</v>
      </c>
      <c r="B4" s="155"/>
      <c r="C4" s="155"/>
      <c r="D4" s="155"/>
      <c r="E4" s="155"/>
      <c r="F4" s="155"/>
      <c r="G4" s="155"/>
      <c r="H4" s="155"/>
      <c r="I4" s="155"/>
    </row>
    <row r="5" spans="1:9" s="50" customFormat="1" ht="27.75" customHeight="1" x14ac:dyDescent="0.4">
      <c r="A5" s="155"/>
      <c r="B5" s="155"/>
      <c r="C5" s="155"/>
      <c r="D5" s="155"/>
      <c r="E5" s="155"/>
      <c r="F5" s="155"/>
      <c r="G5" s="155"/>
      <c r="H5" s="155"/>
      <c r="I5" s="155"/>
    </row>
    <row r="6" spans="1:9" s="50" customFormat="1" ht="18.75" customHeight="1" x14ac:dyDescent="0.4">
      <c r="A6" s="51" t="s">
        <v>16</v>
      </c>
      <c r="B6" s="52"/>
      <c r="C6" s="52"/>
      <c r="D6" s="52"/>
      <c r="E6" s="52"/>
      <c r="F6" s="52"/>
      <c r="G6" s="52"/>
      <c r="H6" s="52"/>
      <c r="I6" s="52"/>
    </row>
    <row r="7" spans="1:9" s="50" customFormat="1" ht="15" customHeight="1" x14ac:dyDescent="0.4">
      <c r="A7" s="51" t="s">
        <v>89</v>
      </c>
      <c r="B7" s="52"/>
      <c r="C7" s="52"/>
      <c r="D7" s="52"/>
      <c r="E7" s="52"/>
      <c r="F7" s="52"/>
      <c r="G7" s="52"/>
      <c r="H7" s="52"/>
      <c r="I7" s="52"/>
    </row>
    <row r="8" spans="1:9" s="50" customFormat="1" ht="14" x14ac:dyDescent="0.4"/>
    <row r="9" spans="1:9" x14ac:dyDescent="0.45">
      <c r="A9" s="53" t="s">
        <v>51</v>
      </c>
      <c r="B9" s="78" t="s">
        <v>2</v>
      </c>
      <c r="C9" s="78" t="s">
        <v>3</v>
      </c>
      <c r="D9" s="78" t="s">
        <v>4</v>
      </c>
      <c r="E9" s="79" t="s">
        <v>5</v>
      </c>
      <c r="F9" s="78" t="s">
        <v>6</v>
      </c>
      <c r="G9" s="78" t="s">
        <v>7</v>
      </c>
      <c r="H9" s="78" t="s">
        <v>8</v>
      </c>
      <c r="I9" s="78" t="s">
        <v>9</v>
      </c>
    </row>
    <row r="10" spans="1:9" ht="14" customHeight="1" x14ac:dyDescent="0.45">
      <c r="A10" s="57" t="s">
        <v>17</v>
      </c>
      <c r="B10" s="57"/>
      <c r="C10" s="57"/>
      <c r="D10" s="57"/>
      <c r="E10" s="57"/>
      <c r="F10" s="57"/>
      <c r="G10" s="57"/>
      <c r="H10" s="57"/>
      <c r="I10" s="57"/>
    </row>
    <row r="11" spans="1:9" ht="14" customHeight="1" x14ac:dyDescent="0.45">
      <c r="A11" s="50" t="s">
        <v>18</v>
      </c>
      <c r="B11" s="86" t="s">
        <v>91</v>
      </c>
      <c r="C11" s="58">
        <v>-27.936031984008025</v>
      </c>
      <c r="D11" s="58">
        <v>-19.154443485763561</v>
      </c>
      <c r="E11" s="86" t="s">
        <v>91</v>
      </c>
      <c r="F11" s="58">
        <v>-17.420435510887788</v>
      </c>
      <c r="G11" s="58">
        <v>8.6253369272237137</v>
      </c>
      <c r="H11" s="58">
        <v>-25.138121546961312</v>
      </c>
      <c r="I11" s="58">
        <v>4.1666666666666519</v>
      </c>
    </row>
    <row r="12" spans="1:9" ht="14" customHeight="1" x14ac:dyDescent="0.45">
      <c r="A12" s="59" t="s">
        <v>19</v>
      </c>
      <c r="B12" s="60">
        <v>3.5483870967742304</v>
      </c>
      <c r="C12" s="60">
        <v>5.9149445941898193</v>
      </c>
      <c r="D12" s="60">
        <v>45.036367210536675</v>
      </c>
      <c r="E12" s="84" t="s">
        <v>91</v>
      </c>
      <c r="F12" s="60">
        <v>35.975609756097526</v>
      </c>
      <c r="G12" s="60">
        <v>27.376191940941208</v>
      </c>
      <c r="H12" s="60">
        <v>-14.395557454079466</v>
      </c>
      <c r="I12" s="144" t="s">
        <v>91</v>
      </c>
    </row>
    <row r="13" spans="1:9" ht="14" customHeight="1" x14ac:dyDescent="0.45">
      <c r="A13" s="50" t="s">
        <v>20</v>
      </c>
      <c r="B13" s="58">
        <v>-17.459429210968093</v>
      </c>
      <c r="C13" s="58">
        <v>-26.878015161957279</v>
      </c>
      <c r="D13" s="58">
        <v>-18.758256274768836</v>
      </c>
      <c r="E13" s="58">
        <v>-19.239373601789701</v>
      </c>
      <c r="F13" s="58">
        <v>-12.500000000000011</v>
      </c>
      <c r="G13" s="58">
        <v>-15.506101938262729</v>
      </c>
      <c r="H13" s="58">
        <v>-27.164887307236086</v>
      </c>
      <c r="I13" s="58">
        <v>-21.194379391100725</v>
      </c>
    </row>
    <row r="14" spans="1:9" ht="14" customHeight="1" x14ac:dyDescent="0.45">
      <c r="A14" s="59" t="s">
        <v>21</v>
      </c>
      <c r="B14" s="61">
        <v>-0.72954663887436766</v>
      </c>
      <c r="C14" s="60">
        <v>6.3128266988339732</v>
      </c>
      <c r="D14" s="60">
        <v>-5.175983436853004</v>
      </c>
      <c r="E14" s="84" t="s">
        <v>91</v>
      </c>
      <c r="F14" s="65">
        <v>-0.11773940345368716</v>
      </c>
      <c r="G14" s="60">
        <v>-26.044568245125333</v>
      </c>
      <c r="H14" s="60">
        <v>6.7937438905180558</v>
      </c>
      <c r="I14" s="60">
        <v>-6.0285319834330275</v>
      </c>
    </row>
    <row r="15" spans="1:9" ht="14" customHeight="1" x14ac:dyDescent="0.45">
      <c r="A15" s="50" t="s">
        <v>22</v>
      </c>
      <c r="B15" s="86" t="s">
        <v>91</v>
      </c>
      <c r="C15" s="58">
        <v>-20.843797086891026</v>
      </c>
      <c r="D15" s="58">
        <v>17.767441860465084</v>
      </c>
      <c r="E15" s="58">
        <v>67.027559055118104</v>
      </c>
      <c r="F15" s="58">
        <v>0.7575757575757347</v>
      </c>
      <c r="G15" s="58">
        <v>52.994257588187011</v>
      </c>
      <c r="H15" s="58">
        <v>-11.237785016286628</v>
      </c>
      <c r="I15" s="85" t="s">
        <v>91</v>
      </c>
    </row>
    <row r="16" spans="1:9" ht="14" customHeight="1" x14ac:dyDescent="0.45">
      <c r="A16" s="59" t="s">
        <v>23</v>
      </c>
      <c r="B16" s="60">
        <v>-6.8723702664796882</v>
      </c>
      <c r="C16" s="60">
        <v>-43.181211635975444</v>
      </c>
      <c r="D16" s="60">
        <v>-5.4758800521512381</v>
      </c>
      <c r="E16" s="60">
        <v>-2.4242424242424288</v>
      </c>
      <c r="F16" s="60">
        <v>-24.955436720142611</v>
      </c>
      <c r="G16" s="60">
        <v>10.141364474492963</v>
      </c>
      <c r="H16" s="60">
        <v>-34.617213504517352</v>
      </c>
      <c r="I16" s="60">
        <v>-26.774748219110766</v>
      </c>
    </row>
    <row r="17" spans="1:9" ht="14" customHeight="1" x14ac:dyDescent="0.45">
      <c r="A17" s="50" t="s">
        <v>24</v>
      </c>
      <c r="B17" s="58">
        <v>-27.523576667830962</v>
      </c>
      <c r="C17" s="58">
        <v>-30.18488745980704</v>
      </c>
      <c r="D17" s="58">
        <v>-36.130215497478233</v>
      </c>
      <c r="E17" s="58">
        <v>-30.52023121387284</v>
      </c>
      <c r="F17" s="58">
        <v>-5.8694057226705727</v>
      </c>
      <c r="G17" s="58">
        <v>-0.92535471930903501</v>
      </c>
      <c r="H17" s="58">
        <v>-29.930069930069937</v>
      </c>
      <c r="I17" s="58">
        <v>-19.68537414965984</v>
      </c>
    </row>
    <row r="18" spans="1:9" ht="14" customHeight="1" x14ac:dyDescent="0.45">
      <c r="A18" s="59" t="s">
        <v>25</v>
      </c>
      <c r="B18" s="60">
        <v>-8.4876543209876694</v>
      </c>
      <c r="C18" s="60">
        <v>7.1082390953149499</v>
      </c>
      <c r="D18" s="60">
        <v>-16.720516962843291</v>
      </c>
      <c r="E18" s="60">
        <v>-2.635327635327589</v>
      </c>
      <c r="F18" s="60">
        <v>4.62012320328542</v>
      </c>
      <c r="G18" s="60">
        <v>21.987686895338587</v>
      </c>
      <c r="H18" s="60">
        <v>-1.8918918918919059</v>
      </c>
      <c r="I18" s="60">
        <v>-9.5417451349654403</v>
      </c>
    </row>
    <row r="19" spans="1:9" ht="14" customHeight="1" x14ac:dyDescent="0.45">
      <c r="A19" s="50" t="s">
        <v>26</v>
      </c>
      <c r="B19" s="58">
        <v>-39.211391018619921</v>
      </c>
      <c r="C19" s="58">
        <v>-51.25448028673835</v>
      </c>
      <c r="D19" s="58">
        <v>-48.069148194618727</v>
      </c>
      <c r="E19" s="58">
        <v>-40.952847120248016</v>
      </c>
      <c r="F19" s="58">
        <v>-35.940409683426445</v>
      </c>
      <c r="G19" s="58">
        <v>-34.964736054712553</v>
      </c>
      <c r="H19" s="58">
        <v>-56.610724519033973</v>
      </c>
      <c r="I19" s="58">
        <v>-44.751082251082252</v>
      </c>
    </row>
    <row r="20" spans="1:9" ht="14" customHeight="1" x14ac:dyDescent="0.45">
      <c r="A20" s="59" t="s">
        <v>27</v>
      </c>
      <c r="B20" s="60">
        <v>-37.117346938775519</v>
      </c>
      <c r="C20" s="60">
        <v>-49.424736337488021</v>
      </c>
      <c r="D20" s="60">
        <v>-44.984533804684055</v>
      </c>
      <c r="E20" s="60">
        <v>-22.411278561011162</v>
      </c>
      <c r="F20" s="60">
        <v>-38.681226375472498</v>
      </c>
      <c r="G20" s="60">
        <v>-15.493910690121771</v>
      </c>
      <c r="H20" s="60">
        <v>-9.4007050528789655</v>
      </c>
      <c r="I20" s="88">
        <v>-27.208201892744476</v>
      </c>
    </row>
    <row r="21" spans="1:9" ht="14" customHeight="1" x14ac:dyDescent="0.45">
      <c r="A21" s="50" t="s">
        <v>28</v>
      </c>
      <c r="B21" s="58">
        <v>-31.590551181102366</v>
      </c>
      <c r="C21" s="58">
        <v>-28.306878306878314</v>
      </c>
      <c r="D21" s="58">
        <v>-32.526067944836868</v>
      </c>
      <c r="E21" s="86" t="s">
        <v>91</v>
      </c>
      <c r="F21" s="58">
        <v>-27.36127508854781</v>
      </c>
      <c r="G21" s="62">
        <v>-45.578005962239168</v>
      </c>
      <c r="H21" s="58">
        <v>-36.226662299377665</v>
      </c>
      <c r="I21" s="58">
        <v>-29.502262443438909</v>
      </c>
    </row>
    <row r="22" spans="1:9" ht="14" customHeight="1" x14ac:dyDescent="0.45">
      <c r="A22" s="63" t="s">
        <v>29</v>
      </c>
      <c r="B22" s="143" t="s">
        <v>91</v>
      </c>
      <c r="C22" s="64">
        <v>-27.880101119537727</v>
      </c>
      <c r="D22" s="64">
        <v>-11.745739290649482</v>
      </c>
      <c r="E22" s="64">
        <v>-17.671009771986956</v>
      </c>
      <c r="F22" s="64">
        <v>-28.82661996497373</v>
      </c>
      <c r="G22" s="64">
        <v>-29.864253393665152</v>
      </c>
      <c r="H22" s="64">
        <v>-39.955686853766622</v>
      </c>
      <c r="I22" s="89">
        <v>-33.504273504273499</v>
      </c>
    </row>
    <row r="23" spans="1:9" ht="14" customHeight="1" x14ac:dyDescent="0.45">
      <c r="A23" s="57" t="s">
        <v>30</v>
      </c>
      <c r="B23" s="158"/>
      <c r="C23" s="158"/>
      <c r="D23" s="158"/>
      <c r="E23" s="158"/>
      <c r="F23" s="158"/>
      <c r="G23" s="158"/>
      <c r="H23" s="158"/>
      <c r="I23" s="158"/>
    </row>
    <row r="24" spans="1:9" ht="14" customHeight="1" x14ac:dyDescent="0.45">
      <c r="A24" s="50" t="s">
        <v>49</v>
      </c>
      <c r="B24" s="161" t="s">
        <v>91</v>
      </c>
      <c r="C24" s="58">
        <v>5.9453412178360088</v>
      </c>
      <c r="D24" s="161" t="s">
        <v>91</v>
      </c>
      <c r="E24" s="86" t="s">
        <v>91</v>
      </c>
      <c r="F24" s="62">
        <v>5.6775874906924706</v>
      </c>
      <c r="G24" s="85" t="s">
        <v>91</v>
      </c>
      <c r="H24" s="58">
        <v>10.997328584149614</v>
      </c>
      <c r="I24" s="62">
        <v>14.054164956914249</v>
      </c>
    </row>
    <row r="25" spans="1:9" ht="14" customHeight="1" x14ac:dyDescent="0.45">
      <c r="A25" s="59" t="s">
        <v>31</v>
      </c>
      <c r="B25" s="60">
        <v>47.707979626485567</v>
      </c>
      <c r="C25" s="60">
        <v>21.752738654147041</v>
      </c>
      <c r="D25" s="60">
        <v>0.111544896820992</v>
      </c>
      <c r="E25" s="84" t="s">
        <v>91</v>
      </c>
      <c r="F25" s="60">
        <v>17.501764290755141</v>
      </c>
      <c r="G25" s="60">
        <v>4.0566037735848992</v>
      </c>
      <c r="H25" s="60">
        <v>13.178807947019845</v>
      </c>
      <c r="I25" s="60">
        <v>12.345679012345689</v>
      </c>
    </row>
    <row r="26" spans="1:9" ht="14" customHeight="1" x14ac:dyDescent="0.45">
      <c r="A26" s="50" t="s">
        <v>32</v>
      </c>
      <c r="B26" s="62">
        <v>10.188087774294651</v>
      </c>
      <c r="C26" s="58">
        <v>29.668049792531171</v>
      </c>
      <c r="D26" s="86" t="s">
        <v>91</v>
      </c>
      <c r="E26" s="58">
        <v>4.705882352941182</v>
      </c>
      <c r="F26" s="58">
        <v>42.427745664739902</v>
      </c>
      <c r="G26" s="86" t="s">
        <v>91</v>
      </c>
      <c r="H26" s="58">
        <v>29.200000000000003</v>
      </c>
      <c r="I26" s="62">
        <v>36.297036297036264</v>
      </c>
    </row>
    <row r="27" spans="1:9" ht="14" customHeight="1" x14ac:dyDescent="0.45">
      <c r="A27" s="59" t="s">
        <v>33</v>
      </c>
      <c r="B27" s="84" t="s">
        <v>91</v>
      </c>
      <c r="C27" s="60">
        <v>-4.6788652830652255</v>
      </c>
      <c r="D27" s="60">
        <v>-9.4800286035345405</v>
      </c>
      <c r="E27" s="87" t="s">
        <v>91</v>
      </c>
      <c r="F27" s="65">
        <v>-17.578520770010144</v>
      </c>
      <c r="G27" s="144" t="s">
        <v>91</v>
      </c>
      <c r="H27" s="60">
        <v>-32.465208747514929</v>
      </c>
      <c r="I27" s="60">
        <v>9.8044771890053894</v>
      </c>
    </row>
    <row r="28" spans="1:9" ht="14" customHeight="1" x14ac:dyDescent="0.45">
      <c r="A28" s="50" t="s">
        <v>34</v>
      </c>
      <c r="B28" s="58">
        <v>26.408217362491769</v>
      </c>
      <c r="C28" s="58">
        <v>-2.3746701846965368</v>
      </c>
      <c r="D28" s="58">
        <v>-29.388403494837167</v>
      </c>
      <c r="E28" s="58">
        <v>2.3663183773816598</v>
      </c>
      <c r="F28" s="62">
        <v>-9.7578870139398468</v>
      </c>
      <c r="G28" s="58">
        <v>-22.894103489771389</v>
      </c>
      <c r="H28" s="58">
        <v>18.758949880668219</v>
      </c>
      <c r="I28" s="58">
        <v>12.458706937234565</v>
      </c>
    </row>
    <row r="29" spans="1:9" ht="14" customHeight="1" x14ac:dyDescent="0.45">
      <c r="A29" s="59" t="s">
        <v>52</v>
      </c>
      <c r="B29" s="65">
        <v>22.090831191088299</v>
      </c>
      <c r="C29" s="144" t="s">
        <v>91</v>
      </c>
      <c r="D29" s="60">
        <v>-7.55336617405582</v>
      </c>
      <c r="E29" s="60">
        <v>25.016677785190101</v>
      </c>
      <c r="F29" s="87" t="s">
        <v>91</v>
      </c>
      <c r="G29" s="65">
        <v>-5.9696676347208548</v>
      </c>
      <c r="H29" s="60">
        <v>-14.173669467787109</v>
      </c>
      <c r="I29" s="60">
        <v>4.2740841248303685</v>
      </c>
    </row>
    <row r="30" spans="1:9" ht="14" customHeight="1" x14ac:dyDescent="0.45">
      <c r="A30" s="50" t="s">
        <v>35</v>
      </c>
      <c r="B30" s="58">
        <v>-12.001223054578801</v>
      </c>
      <c r="C30" s="58">
        <v>-9.4039244724176569</v>
      </c>
      <c r="D30" s="58">
        <v>-12.820047212638441</v>
      </c>
      <c r="E30" s="58">
        <v>-12.123125493291266</v>
      </c>
      <c r="F30" s="58">
        <v>-12.55280627640316</v>
      </c>
      <c r="G30" s="58">
        <v>-8.1870411745930127</v>
      </c>
      <c r="H30" s="58">
        <v>-16.317829457364365</v>
      </c>
      <c r="I30" s="58">
        <v>-13.510726072607259</v>
      </c>
    </row>
    <row r="31" spans="1:9" ht="14" customHeight="1" x14ac:dyDescent="0.45">
      <c r="A31" s="59" t="s">
        <v>36</v>
      </c>
      <c r="B31" s="60">
        <v>12.738990332975364</v>
      </c>
      <c r="C31" s="60">
        <v>26.139657444005259</v>
      </c>
      <c r="D31" s="60">
        <v>3.5760171306209676</v>
      </c>
      <c r="E31" s="144" t="s">
        <v>91</v>
      </c>
      <c r="F31" s="65">
        <v>22.766122766122777</v>
      </c>
      <c r="G31" s="60">
        <v>10.720887245841082</v>
      </c>
      <c r="H31" s="60">
        <v>71.751067724222068</v>
      </c>
      <c r="I31" s="60">
        <v>2.9050736497545415</v>
      </c>
    </row>
    <row r="32" spans="1:9" ht="14" customHeight="1" x14ac:dyDescent="0.45">
      <c r="A32" s="50" t="s">
        <v>37</v>
      </c>
      <c r="B32" s="66">
        <v>-12.581818181818194</v>
      </c>
      <c r="C32" s="159">
        <v>-26.458456098998241</v>
      </c>
      <c r="D32" s="58">
        <v>-10.669456066945637</v>
      </c>
      <c r="E32" s="85" t="s">
        <v>91</v>
      </c>
      <c r="F32" s="58">
        <v>-15.290658222121689</v>
      </c>
      <c r="G32" s="58">
        <v>13.727959697733016</v>
      </c>
      <c r="H32" s="58">
        <v>-27.521727679747155</v>
      </c>
      <c r="I32" s="58">
        <v>-6.7590027700831001</v>
      </c>
    </row>
    <row r="33" spans="1:9" ht="14" customHeight="1" x14ac:dyDescent="0.45">
      <c r="A33" s="59" t="s">
        <v>53</v>
      </c>
      <c r="B33" s="144" t="s">
        <v>91</v>
      </c>
      <c r="C33" s="60">
        <v>26.501814272275247</v>
      </c>
      <c r="D33" s="60">
        <v>22.413307020016916</v>
      </c>
      <c r="E33" s="60">
        <v>18.271803103263771</v>
      </c>
      <c r="F33" s="60">
        <v>35.242859448120001</v>
      </c>
      <c r="G33" s="60">
        <v>14.242990654205601</v>
      </c>
      <c r="H33" s="60">
        <v>16.226985435559182</v>
      </c>
      <c r="I33" s="60">
        <v>23.0814123139772</v>
      </c>
    </row>
    <row r="34" spans="1:9" ht="14" customHeight="1" x14ac:dyDescent="0.45">
      <c r="A34" s="50" t="s">
        <v>38</v>
      </c>
      <c r="B34" s="86" t="s">
        <v>91</v>
      </c>
      <c r="C34" s="58">
        <v>6.6827940731781554</v>
      </c>
      <c r="D34" s="58">
        <v>9.2024539877300526</v>
      </c>
      <c r="E34" s="86" t="s">
        <v>91</v>
      </c>
      <c r="F34" s="58">
        <v>12.324259647023638</v>
      </c>
      <c r="G34" s="58">
        <v>7.430340557275561</v>
      </c>
      <c r="H34" s="58">
        <v>20.655375552282784</v>
      </c>
      <c r="I34" s="58">
        <v>2.0278099652375481</v>
      </c>
    </row>
    <row r="35" spans="1:9" ht="14" customHeight="1" x14ac:dyDescent="0.45">
      <c r="A35" s="59" t="s">
        <v>39</v>
      </c>
      <c r="B35" s="60">
        <v>-8.2207967589466477</v>
      </c>
      <c r="C35" s="60">
        <v>5.7632398753894254</v>
      </c>
      <c r="D35" s="60">
        <v>-10.877042132416182</v>
      </c>
      <c r="E35" s="60">
        <v>-7.8649566201433601</v>
      </c>
      <c r="F35" s="60">
        <v>-12.620545073375267</v>
      </c>
      <c r="G35" s="60">
        <v>-6.6044181279890761</v>
      </c>
      <c r="H35" s="60">
        <v>-12.029315137730601</v>
      </c>
      <c r="I35" s="60">
        <v>1.1831819142193334</v>
      </c>
    </row>
    <row r="36" spans="1:9" ht="14" customHeight="1" x14ac:dyDescent="0.45">
      <c r="A36" s="50" t="s">
        <v>40</v>
      </c>
      <c r="B36" s="161" t="s">
        <v>91</v>
      </c>
      <c r="C36" s="58">
        <v>25.786754344762809</v>
      </c>
      <c r="D36" s="58">
        <v>28.083989501312367</v>
      </c>
      <c r="E36" s="86" t="s">
        <v>91</v>
      </c>
      <c r="F36" s="85" t="s">
        <v>91</v>
      </c>
      <c r="G36" s="86" t="s">
        <v>91</v>
      </c>
      <c r="H36" s="58">
        <v>36.926829268292629</v>
      </c>
      <c r="I36" s="58">
        <v>22.433234421365</v>
      </c>
    </row>
    <row r="37" spans="1:9" ht="14" customHeight="1" x14ac:dyDescent="0.45">
      <c r="A37" s="59" t="s">
        <v>54</v>
      </c>
      <c r="B37" s="84" t="s">
        <v>91</v>
      </c>
      <c r="C37" s="87" t="s">
        <v>91</v>
      </c>
      <c r="D37" s="60">
        <v>10.280797101449291</v>
      </c>
      <c r="E37" s="87" t="s">
        <v>91</v>
      </c>
      <c r="F37" s="60">
        <v>11.392405063291132</v>
      </c>
      <c r="G37" s="60">
        <v>48.976535197204221</v>
      </c>
      <c r="H37" s="60">
        <v>1.7589820359281472</v>
      </c>
      <c r="I37" s="60">
        <v>4.9107142857143016</v>
      </c>
    </row>
    <row r="38" spans="1:9" ht="14" customHeight="1" x14ac:dyDescent="0.45">
      <c r="A38" s="50" t="s">
        <v>41</v>
      </c>
      <c r="B38" s="58">
        <v>34.459459459459453</v>
      </c>
      <c r="C38" s="58">
        <v>22.519352568613659</v>
      </c>
      <c r="D38" s="58">
        <v>34.389140271493247</v>
      </c>
      <c r="E38" s="86" t="s">
        <v>91</v>
      </c>
      <c r="F38" s="86" t="s">
        <v>91</v>
      </c>
      <c r="G38" s="58">
        <v>38.751926040061704</v>
      </c>
      <c r="H38" s="86" t="s">
        <v>91</v>
      </c>
      <c r="I38" s="86" t="s">
        <v>91</v>
      </c>
    </row>
    <row r="39" spans="1:9" ht="14" customHeight="1" x14ac:dyDescent="0.45">
      <c r="A39" s="63" t="s">
        <v>42</v>
      </c>
      <c r="B39" s="64">
        <v>51.30578512396697</v>
      </c>
      <c r="C39" s="64">
        <v>47.834419317746324</v>
      </c>
      <c r="D39" s="64">
        <v>54.768486523842405</v>
      </c>
      <c r="E39" s="64">
        <v>43.504350435043484</v>
      </c>
      <c r="F39" s="64">
        <v>55.242786769880411</v>
      </c>
      <c r="G39" s="67">
        <v>25.483091787439616</v>
      </c>
      <c r="H39" s="64">
        <v>47.07351891506066</v>
      </c>
      <c r="I39" s="64">
        <v>47.841472045293678</v>
      </c>
    </row>
    <row r="40" spans="1:9" ht="14" customHeight="1" x14ac:dyDescent="0.45">
      <c r="A40" s="57" t="s">
        <v>43</v>
      </c>
      <c r="B40" s="158"/>
      <c r="C40" s="158"/>
      <c r="D40" s="158"/>
      <c r="E40" s="158"/>
      <c r="F40" s="158"/>
      <c r="G40" s="158"/>
      <c r="H40" s="158"/>
      <c r="I40" s="158"/>
    </row>
    <row r="41" spans="1:9" ht="14" customHeight="1" x14ac:dyDescent="0.45">
      <c r="A41" s="50" t="s">
        <v>44</v>
      </c>
      <c r="B41" s="85" t="s">
        <v>91</v>
      </c>
      <c r="C41" s="58">
        <v>71.070857751731495</v>
      </c>
      <c r="D41" s="58">
        <v>131.04838709677421</v>
      </c>
      <c r="E41" s="85" t="s">
        <v>91</v>
      </c>
      <c r="F41" s="58">
        <v>82.497387669801412</v>
      </c>
      <c r="G41" s="58">
        <v>147.03349282296645</v>
      </c>
      <c r="H41" s="58">
        <v>189.06832298136661</v>
      </c>
      <c r="I41" s="62">
        <v>63.636363636363669</v>
      </c>
    </row>
    <row r="42" spans="1:9" ht="14" customHeight="1" x14ac:dyDescent="0.45">
      <c r="A42" s="59" t="s">
        <v>45</v>
      </c>
      <c r="B42" s="60">
        <v>36.589545844044594</v>
      </c>
      <c r="C42" s="60">
        <v>18.392469225199125</v>
      </c>
      <c r="D42" s="60">
        <v>32.913518052057086</v>
      </c>
      <c r="E42" s="60">
        <v>-6.2021439509953975</v>
      </c>
      <c r="F42" s="60">
        <v>-13.957176843774777</v>
      </c>
      <c r="G42" s="87" t="s">
        <v>91</v>
      </c>
      <c r="H42" s="60">
        <v>-6.4606741573033926</v>
      </c>
      <c r="I42" s="60">
        <v>-1.2172284644194731</v>
      </c>
    </row>
    <row r="43" spans="1:9" ht="14" customHeight="1" x14ac:dyDescent="0.45">
      <c r="A43" s="50" t="s">
        <v>55</v>
      </c>
      <c r="B43" s="86" t="s">
        <v>91</v>
      </c>
      <c r="C43" s="58">
        <v>26.069383630852094</v>
      </c>
      <c r="D43" s="58">
        <v>18.676470588235318</v>
      </c>
      <c r="E43" s="58">
        <v>21.292170591979655</v>
      </c>
      <c r="F43" s="58">
        <v>42.999546896239238</v>
      </c>
      <c r="G43" s="58">
        <v>12.37712243074176</v>
      </c>
      <c r="H43" s="58">
        <v>15.423340961098365</v>
      </c>
      <c r="I43" s="58">
        <v>14.133333333333308</v>
      </c>
    </row>
    <row r="44" spans="1:9" ht="14" customHeight="1" x14ac:dyDescent="0.45">
      <c r="A44" s="59" t="s">
        <v>46</v>
      </c>
      <c r="B44" s="60">
        <v>50.255319148936195</v>
      </c>
      <c r="C44" s="60">
        <v>18.706357956633624</v>
      </c>
      <c r="D44" s="60">
        <v>37.495462794918311</v>
      </c>
      <c r="E44" s="60">
        <v>69.503239740820703</v>
      </c>
      <c r="F44" s="60">
        <v>57.738748627881463</v>
      </c>
      <c r="G44" s="60">
        <v>19.710669077757714</v>
      </c>
      <c r="H44" s="60">
        <v>75.334821428571416</v>
      </c>
      <c r="I44" s="60">
        <v>57.201166180758079</v>
      </c>
    </row>
    <row r="45" spans="1:9" ht="14" customHeight="1" x14ac:dyDescent="0.45">
      <c r="A45" s="68" t="s">
        <v>47</v>
      </c>
      <c r="B45" s="69">
        <v>-15.531104528142215</v>
      </c>
      <c r="C45" s="69">
        <v>-36.668469442942133</v>
      </c>
      <c r="D45" s="69">
        <v>-24.407582938388618</v>
      </c>
      <c r="E45" s="69">
        <v>-16.68153434433539</v>
      </c>
      <c r="F45" s="69">
        <v>-36.262951053947845</v>
      </c>
      <c r="G45" s="69">
        <v>-24.294117647058822</v>
      </c>
      <c r="H45" s="69">
        <v>-35.375040943334433</v>
      </c>
      <c r="I45" s="69">
        <v>-41.237806929027954</v>
      </c>
    </row>
    <row r="46" spans="1:9" x14ac:dyDescent="0.45">
      <c r="A46" s="70"/>
      <c r="B46" s="80"/>
      <c r="C46" s="80"/>
      <c r="D46" s="80"/>
      <c r="E46" s="80"/>
      <c r="F46" s="80"/>
      <c r="G46" s="80"/>
      <c r="H46" s="80"/>
      <c r="I46" s="80"/>
    </row>
    <row r="47" spans="1:9" x14ac:dyDescent="0.45">
      <c r="A47" s="70" t="s">
        <v>12</v>
      </c>
      <c r="B47" s="71"/>
      <c r="C47" s="72"/>
      <c r="D47" s="72"/>
      <c r="E47" s="71"/>
      <c r="F47" s="72"/>
      <c r="G47" s="72"/>
      <c r="H47" s="72"/>
      <c r="I47" s="72"/>
    </row>
    <row r="48" spans="1:9" x14ac:dyDescent="0.45">
      <c r="A48" s="73" t="s">
        <v>56</v>
      </c>
      <c r="B48" s="73"/>
      <c r="C48" s="73"/>
      <c r="D48" s="73"/>
      <c r="E48" s="73"/>
      <c r="F48" s="73"/>
      <c r="G48" s="73"/>
      <c r="H48" s="73"/>
      <c r="I48" s="73"/>
    </row>
    <row r="49" spans="1:9" x14ac:dyDescent="0.45">
      <c r="A49" s="74" t="s">
        <v>14</v>
      </c>
      <c r="B49" s="71"/>
      <c r="C49" s="72"/>
      <c r="D49" s="72"/>
      <c r="E49" s="71"/>
      <c r="F49" s="72"/>
      <c r="G49" s="72"/>
      <c r="H49" s="72"/>
      <c r="I49" s="72"/>
    </row>
    <row r="50" spans="1:9" x14ac:dyDescent="0.45">
      <c r="A50" s="75" t="s">
        <v>15</v>
      </c>
      <c r="B50" s="76"/>
      <c r="C50" s="76"/>
      <c r="D50" s="76"/>
      <c r="E50" s="76"/>
      <c r="F50" s="76"/>
      <c r="G50" s="76"/>
      <c r="H50" s="76"/>
      <c r="I50" s="76"/>
    </row>
    <row r="51" spans="1:9" x14ac:dyDescent="0.45">
      <c r="A51" s="75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7" t="str">
        <f>+Índice!A14</f>
        <v>Fecha de actualización: 11 de julio de 2023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5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5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5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Anexo 1</vt:lpstr>
      <vt:lpstr>Anexo 2</vt:lpstr>
      <vt:lpstr>Anexo 3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LMChaparroC</dc:creator>
  <cp:lastModifiedBy>Elsa Beatriz Hernandez Gomez</cp:lastModifiedBy>
  <cp:lastPrinted>2018-10-02T21:35:14Z</cp:lastPrinted>
  <dcterms:created xsi:type="dcterms:W3CDTF">2007-01-25T17:17:56Z</dcterms:created>
  <dcterms:modified xsi:type="dcterms:W3CDTF">2023-07-04T02:35:04Z</dcterms:modified>
</cp:coreProperties>
</file>