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/>
  <mc:AlternateContent xmlns:mc="http://schemas.openxmlformats.org/markup-compatibility/2006">
    <mc:Choice Requires="x15">
      <x15ac:absPath xmlns:x15ac="http://schemas.microsoft.com/office/spreadsheetml/2010/11/ac" url="Z:\Mayoristas\boletines\mensual\2023\Agosto\"/>
    </mc:Choice>
  </mc:AlternateContent>
  <xr:revisionPtr revIDLastSave="0" documentId="13_ncr:1_{8464BA3F-A9A2-418E-B75B-2B61E85F0CFD}" xr6:coauthVersionLast="47" xr6:coauthVersionMax="47" xr10:uidLastSave="{00000000-0000-0000-0000-000000000000}"/>
  <bookViews>
    <workbookView xWindow="-110" yWindow="-110" windowWidth="19420" windowHeight="10420" tabRatio="815" xr2:uid="{00000000-000D-0000-FFFF-FFFF00000000}"/>
  </bookViews>
  <sheets>
    <sheet name="Índice" sheetId="519" r:id="rId1"/>
    <sheet name="Anexo 1" sheetId="520" r:id="rId2"/>
    <sheet name="Anexo 2" sheetId="521" r:id="rId3"/>
    <sheet name="Anexo 3" sheetId="52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2" i="519" l="1"/>
  <c r="A79" i="520"/>
  <c r="A52" i="521"/>
  <c r="A52" i="522"/>
  <c r="A11" i="519"/>
  <c r="A10" i="519" l="1"/>
</calcChain>
</file>

<file path=xl/sharedStrings.xml><?xml version="1.0" encoding="utf-8"?>
<sst xmlns="http://schemas.openxmlformats.org/spreadsheetml/2006/main" count="386" uniqueCount="93">
  <si>
    <t>Sistema de Información de Precios y Abastecimiento del Sector Agropecuario -SIPSA- 
Precios Mayoristas</t>
  </si>
  <si>
    <t>Precio $/Kg</t>
  </si>
  <si>
    <t>Barranquilla</t>
  </si>
  <si>
    <t>Bogotá</t>
  </si>
  <si>
    <t>Bucaramanga</t>
  </si>
  <si>
    <t>Cartagena</t>
  </si>
  <si>
    <t>Cali</t>
  </si>
  <si>
    <t>Cúcuta</t>
  </si>
  <si>
    <t>Medellín</t>
  </si>
  <si>
    <t>Pereira</t>
  </si>
  <si>
    <t>Precio</t>
  </si>
  <si>
    <t>Var %</t>
  </si>
  <si>
    <t>*Variedad predominante en el mercado</t>
  </si>
  <si>
    <t>** Los precios reportados para los huevos son $/unidad y los del aceite vegetal mezcla $/litro.</t>
  </si>
  <si>
    <t>n.d.: no disponible</t>
  </si>
  <si>
    <t xml:space="preserve"> -: no es posible calcular la variación</t>
  </si>
  <si>
    <t>Comportamiento de los precios mayoristas de los principales alimentos en las principales ocho ciudades.</t>
  </si>
  <si>
    <t>Hortalizas y verduras</t>
  </si>
  <si>
    <t>Ahuyama</t>
  </si>
  <si>
    <t>Arveja verde en vaina</t>
  </si>
  <si>
    <t>Cebolla cabezona blanca</t>
  </si>
  <si>
    <t>Cebolla junca</t>
  </si>
  <si>
    <t>Chócolo mazorca</t>
  </si>
  <si>
    <t>Habichuela</t>
  </si>
  <si>
    <t>Lechuga Batavia</t>
  </si>
  <si>
    <t>Pepino cohombro</t>
  </si>
  <si>
    <t>Pimentón</t>
  </si>
  <si>
    <t>Remolacha</t>
  </si>
  <si>
    <t>Tomate*</t>
  </si>
  <si>
    <t>Zanahoria</t>
  </si>
  <si>
    <t>Frutas frescas</t>
  </si>
  <si>
    <t>Banano*</t>
  </si>
  <si>
    <t>Coco</t>
  </si>
  <si>
    <t>Granadilla</t>
  </si>
  <si>
    <t>Guayaba pera</t>
  </si>
  <si>
    <t>Lulo</t>
  </si>
  <si>
    <t>Mandarina*</t>
  </si>
  <si>
    <t>Mango Tommy</t>
  </si>
  <si>
    <t>Maracuyá</t>
  </si>
  <si>
    <t>Mora de Castilla</t>
  </si>
  <si>
    <t>Naranja Valencia</t>
  </si>
  <si>
    <t>Piña *</t>
  </si>
  <si>
    <t>Tomate de árbol</t>
  </si>
  <si>
    <t>Tubérculos y plátanos</t>
  </si>
  <si>
    <t>Arracacha*</t>
  </si>
  <si>
    <t>Papa negra*</t>
  </si>
  <si>
    <t>Plátano hartón verde</t>
  </si>
  <si>
    <t>Yuca*</t>
  </si>
  <si>
    <t>SISTEMA DE INFORMACIÓN DE PRECIOS Y ABASTECIMIENTO DEL SECTOR AGROPECUARIO 
-SIPSA- 
PRECIOS MAYORISTAS</t>
  </si>
  <si>
    <t>Aguacate papelillo</t>
  </si>
  <si>
    <t>Var%: Variación porcentual con respecto al promedio del mes anterior. Dado que la variedad predominante en el mercado puede 
cambiar de un período a otro, las variaciones reportadas pueden obedecer a estos cambios, al igual que el mercado reportado en cada ciudad.</t>
  </si>
  <si>
    <t>Producto</t>
  </si>
  <si>
    <t>Limón común</t>
  </si>
  <si>
    <t>Manzana verde importada</t>
  </si>
  <si>
    <t>Papaya Maradol</t>
  </si>
  <si>
    <t>Papa criolla</t>
  </si>
  <si>
    <t>Var%: Variación porcentual con respecto al promedio del mismo mes del año anterior</t>
  </si>
  <si>
    <t>Var%: Variación porcentual en lo corrido del año</t>
  </si>
  <si>
    <t>Limón Tahití</t>
  </si>
  <si>
    <t>Papaya*</t>
  </si>
  <si>
    <t>Uva red globe nacional</t>
  </si>
  <si>
    <t>Papa criolla limpia</t>
  </si>
  <si>
    <t>Granos, cárnicos y procesados</t>
  </si>
  <si>
    <t>Arroz de primera</t>
  </si>
  <si>
    <t>Arveja verde seca importada</t>
  </si>
  <si>
    <t>Fríjol seco*</t>
  </si>
  <si>
    <t>Garbanzo importado</t>
  </si>
  <si>
    <t>Lenteja importada</t>
  </si>
  <si>
    <t>Maíz blanco trillado</t>
  </si>
  <si>
    <t>Carne de cerdo, costilla</t>
  </si>
  <si>
    <t>Carne de res, lomo fino</t>
  </si>
  <si>
    <t>Pechuga de pollo</t>
  </si>
  <si>
    <t>Aceite vegetal mezcla**</t>
  </si>
  <si>
    <t>Azúcar sulfitada</t>
  </si>
  <si>
    <t>Galletas saladas</t>
  </si>
  <si>
    <t>Harina de trigo</t>
  </si>
  <si>
    <t>Harina precocida de maíz</t>
  </si>
  <si>
    <t>Jugo instantáneo (sobre)</t>
  </si>
  <si>
    <t>Lomitos de atún en lata</t>
  </si>
  <si>
    <t>Margarina</t>
  </si>
  <si>
    <t>Panela*</t>
  </si>
  <si>
    <t>Pastas alimenticias</t>
  </si>
  <si>
    <t>Salsa de tomate doy pack</t>
  </si>
  <si>
    <t>Sardinas en lata</t>
  </si>
  <si>
    <t>Huevo tipo A**</t>
  </si>
  <si>
    <t>Queso cuajada</t>
  </si>
  <si>
    <t>Agosto de 2023</t>
  </si>
  <si>
    <t>Fecha de actualización: 8 de septiembre de 2023</t>
  </si>
  <si>
    <t>Variación mensual. Agosto de 2023</t>
  </si>
  <si>
    <t>Variación año corrido. Agosto de 2023</t>
  </si>
  <si>
    <t>Variación anual. Agosto de 2023</t>
  </si>
  <si>
    <t>n.d.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</si>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</sst>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_-* #,##0.00\ _P_t_s_-;\-* #,##0.00\ _P_t_s_-;_-* &quot;-&quot;??\ _P_t_s_-;_-@_-"/>
    <numFmt numFmtId="166" formatCode="_-* #,##0.00\ [$€]_-;\-* #,##0.00\ [$€]_-;_-* &quot;-&quot;??\ [$€]_-;_-@_-"/>
    <numFmt numFmtId="167" formatCode="_(* #,##0_);_(* \(#,##0\);_(* &quot;-&quot;??_);_(@_)"/>
  </numFmts>
  <fonts count="32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9"/>
      <name val="Segoe UI"/>
      <family val="2"/>
    </font>
    <font>
      <b/>
      <sz val="16"/>
      <color theme="0"/>
      <name val="Segoe UI"/>
      <family val="2"/>
    </font>
    <font>
      <b/>
      <sz val="10"/>
      <name val="Segoe UI"/>
      <family val="2"/>
    </font>
    <font>
      <sz val="10"/>
      <name val="Segoe UI"/>
      <family val="2"/>
    </font>
    <font>
      <b/>
      <sz val="8"/>
      <name val="Segoe UI"/>
      <family val="2"/>
    </font>
    <font>
      <b/>
      <sz val="8"/>
      <color theme="1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sz val="10"/>
      <color theme="4" tint="-0.249977111117893"/>
      <name val="Segoe UI"/>
      <family val="2"/>
    </font>
    <font>
      <b/>
      <sz val="14"/>
      <color theme="0"/>
      <name val="Segoe UI"/>
      <family val="2"/>
    </font>
    <font>
      <b/>
      <sz val="12"/>
      <name val="Segoe UI"/>
      <family val="2"/>
    </font>
    <font>
      <sz val="11"/>
      <name val="Segoe UI"/>
      <family val="2"/>
    </font>
    <font>
      <b/>
      <sz val="9"/>
      <name val="Segoe UI"/>
      <family val="2"/>
    </font>
    <font>
      <b/>
      <sz val="9"/>
      <color theme="1"/>
      <name val="Segoe UI"/>
      <family val="2"/>
    </font>
    <font>
      <sz val="9"/>
      <color theme="1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6004B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8" fillId="20" borderId="4" applyNumberFormat="0" applyAlignment="0" applyProtection="0"/>
    <xf numFmtId="0" fontId="9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11" fillId="27" borderId="4" applyNumberFormat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2" fillId="28" borderId="0" applyNumberFormat="0" applyBorder="0" applyAlignment="0" applyProtection="0"/>
    <xf numFmtId="165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3" fillId="29" borderId="0" applyNumberFormat="0" applyBorder="0" applyAlignment="0" applyProtection="0"/>
    <xf numFmtId="0" fontId="6" fillId="0" borderId="0"/>
    <xf numFmtId="0" fontId="6" fillId="30" borderId="6" applyNumberFormat="0" applyFont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4" fillId="20" borderId="7" applyNumberFormat="0" applyAlignment="0" applyProtection="0"/>
    <xf numFmtId="0" fontId="15" fillId="0" borderId="0" applyNumberFormat="0" applyFill="0" applyBorder="0" applyAlignment="0" applyProtection="0"/>
    <xf numFmtId="0" fontId="16" fillId="0" borderId="8" applyNumberFormat="0" applyFill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8">
    <xf numFmtId="0" fontId="0" fillId="0" borderId="0" xfId="0"/>
    <xf numFmtId="0" fontId="17" fillId="0" borderId="0" xfId="0" applyFont="1"/>
    <xf numFmtId="0" fontId="19" fillId="33" borderId="0" xfId="0" applyFont="1" applyFill="1" applyAlignment="1">
      <alignment vertical="center"/>
    </xf>
    <xf numFmtId="0" fontId="19" fillId="33" borderId="0" xfId="0" applyFont="1" applyFill="1" applyAlignment="1">
      <alignment vertical="center" wrapText="1"/>
    </xf>
    <xf numFmtId="0" fontId="20" fillId="0" borderId="0" xfId="0" applyFont="1"/>
    <xf numFmtId="167" fontId="21" fillId="0" borderId="2" xfId="33" applyNumberFormat="1" applyFont="1" applyFill="1" applyBorder="1" applyAlignment="1">
      <alignment horizontal="center"/>
    </xf>
    <xf numFmtId="167" fontId="24" fillId="0" borderId="0" xfId="33" applyNumberFormat="1" applyFont="1" applyAlignment="1">
      <alignment horizontal="right"/>
    </xf>
    <xf numFmtId="2" fontId="24" fillId="0" borderId="0" xfId="33" applyNumberFormat="1" applyFont="1" applyAlignment="1">
      <alignment horizontal="right"/>
    </xf>
    <xf numFmtId="0" fontId="22" fillId="0" borderId="0" xfId="0" applyFont="1"/>
    <xf numFmtId="0" fontId="20" fillId="31" borderId="0" xfId="0" applyFont="1" applyFill="1"/>
    <xf numFmtId="0" fontId="28" fillId="31" borderId="0" xfId="0" applyFont="1" applyFill="1" applyAlignment="1">
      <alignment vertical="center"/>
    </xf>
    <xf numFmtId="0" fontId="25" fillId="32" borderId="0" xfId="0" applyFont="1" applyFill="1"/>
    <xf numFmtId="0" fontId="20" fillId="32" borderId="0" xfId="0" applyFont="1" applyFill="1"/>
    <xf numFmtId="0" fontId="19" fillId="31" borderId="0" xfId="0" applyFont="1" applyFill="1"/>
    <xf numFmtId="0" fontId="25" fillId="31" borderId="0" xfId="0" applyFont="1" applyFill="1"/>
    <xf numFmtId="0" fontId="23" fillId="0" borderId="0" xfId="0" applyFont="1"/>
    <xf numFmtId="0" fontId="17" fillId="0" borderId="0" xfId="0" applyFont="1" applyAlignment="1">
      <alignment horizontal="right"/>
    </xf>
    <xf numFmtId="0" fontId="19" fillId="33" borderId="0" xfId="0" applyFont="1" applyFill="1" applyAlignment="1">
      <alignment horizontal="right" vertical="center" wrapText="1"/>
    </xf>
    <xf numFmtId="0" fontId="20" fillId="0" borderId="0" xfId="0" applyFont="1" applyAlignment="1">
      <alignment horizontal="right"/>
    </xf>
    <xf numFmtId="0" fontId="2" fillId="31" borderId="0" xfId="31" quotePrefix="1" applyFill="1" applyBorder="1" applyAlignment="1" applyProtection="1">
      <alignment vertical="center"/>
    </xf>
    <xf numFmtId="4" fontId="21" fillId="0" borderId="2" xfId="33" applyNumberFormat="1" applyFont="1" applyFill="1" applyBorder="1" applyAlignment="1">
      <alignment horizontal="center"/>
    </xf>
    <xf numFmtId="0" fontId="23" fillId="33" borderId="0" xfId="36" applyFont="1" applyFill="1"/>
    <xf numFmtId="3" fontId="24" fillId="33" borderId="0" xfId="34" applyNumberFormat="1" applyFont="1" applyFill="1" applyBorder="1" applyAlignment="1">
      <alignment horizontal="right"/>
    </xf>
    <xf numFmtId="3" fontId="24" fillId="33" borderId="0" xfId="34" applyNumberFormat="1" applyFont="1" applyFill="1" applyBorder="1" applyAlignment="1">
      <alignment horizontal="right" vertical="center"/>
    </xf>
    <xf numFmtId="0" fontId="23" fillId="0" borderId="0" xfId="36" applyFont="1"/>
    <xf numFmtId="3" fontId="24" fillId="0" borderId="0" xfId="34" applyNumberFormat="1" applyFont="1" applyFill="1" applyBorder="1" applyAlignment="1">
      <alignment horizontal="center"/>
    </xf>
    <xf numFmtId="3" fontId="24" fillId="0" borderId="0" xfId="34" applyNumberFormat="1" applyFont="1" applyFill="1" applyBorder="1" applyAlignment="1">
      <alignment horizontal="right"/>
    </xf>
    <xf numFmtId="3" fontId="24" fillId="0" borderId="0" xfId="34" applyNumberFormat="1" applyFont="1" applyFill="1" applyBorder="1" applyAlignment="1">
      <alignment horizontal="right" vertical="center"/>
    </xf>
    <xf numFmtId="3" fontId="24" fillId="33" borderId="0" xfId="34" applyNumberFormat="1" applyFont="1" applyFill="1" applyBorder="1" applyAlignment="1">
      <alignment horizontal="center" vertical="center"/>
    </xf>
    <xf numFmtId="3" fontId="24" fillId="0" borderId="0" xfId="34" applyNumberFormat="1" applyFont="1" applyFill="1" applyBorder="1" applyAlignment="1">
      <alignment horizontal="right" vertical="justify"/>
    </xf>
    <xf numFmtId="3" fontId="24" fillId="0" borderId="0" xfId="34" applyNumberFormat="1" applyFont="1" applyFill="1" applyBorder="1" applyAlignment="1">
      <alignment horizontal="center" vertical="center"/>
    </xf>
    <xf numFmtId="0" fontId="24" fillId="0" borderId="0" xfId="34" applyNumberFormat="1" applyFont="1" applyFill="1" applyBorder="1" applyAlignment="1">
      <alignment horizontal="center" vertical="center"/>
    </xf>
    <xf numFmtId="0" fontId="23" fillId="0" borderId="2" xfId="36" applyFont="1" applyBorder="1"/>
    <xf numFmtId="3" fontId="24" fillId="0" borderId="2" xfId="34" applyNumberFormat="1" applyFont="1" applyFill="1" applyBorder="1" applyAlignment="1">
      <alignment horizontal="right"/>
    </xf>
    <xf numFmtId="3" fontId="24" fillId="0" borderId="0" xfId="0" applyNumberFormat="1" applyFont="1" applyAlignment="1">
      <alignment horizontal="right"/>
    </xf>
    <xf numFmtId="0" fontId="23" fillId="33" borderId="0" xfId="0" applyFont="1" applyFill="1"/>
    <xf numFmtId="3" fontId="24" fillId="33" borderId="0" xfId="0" applyNumberFormat="1" applyFont="1" applyFill="1" applyAlignment="1">
      <alignment horizontal="right"/>
    </xf>
    <xf numFmtId="167" fontId="24" fillId="0" borderId="0" xfId="34" applyNumberFormat="1" applyFont="1" applyFill="1" applyBorder="1" applyAlignment="1">
      <alignment horizontal="right"/>
    </xf>
    <xf numFmtId="2" fontId="24" fillId="0" borderId="0" xfId="34" applyNumberFormat="1" applyFont="1" applyFill="1" applyBorder="1" applyAlignment="1">
      <alignment horizontal="right"/>
    </xf>
    <xf numFmtId="0" fontId="24" fillId="0" borderId="0" xfId="34" applyNumberFormat="1" applyFont="1" applyFill="1" applyBorder="1" applyAlignment="1">
      <alignment horizontal="right" vertical="center"/>
    </xf>
    <xf numFmtId="0" fontId="20" fillId="0" borderId="0" xfId="36" applyFont="1"/>
    <xf numFmtId="167" fontId="24" fillId="0" borderId="0" xfId="34" applyNumberFormat="1" applyFont="1" applyAlignment="1">
      <alignment horizontal="right"/>
    </xf>
    <xf numFmtId="2" fontId="24" fillId="0" borderId="0" xfId="34" applyNumberFormat="1" applyFont="1" applyAlignment="1">
      <alignment horizontal="right"/>
    </xf>
    <xf numFmtId="0" fontId="23" fillId="0" borderId="0" xfId="36" applyFont="1" applyAlignment="1">
      <alignment vertical="center"/>
    </xf>
    <xf numFmtId="0" fontId="23" fillId="0" borderId="0" xfId="36" applyFont="1" applyAlignment="1">
      <alignment horizontal="right"/>
    </xf>
    <xf numFmtId="2" fontId="23" fillId="0" borderId="0" xfId="34" applyNumberFormat="1" applyFont="1" applyFill="1" applyAlignment="1">
      <alignment horizontal="right"/>
    </xf>
    <xf numFmtId="167" fontId="21" fillId="0" borderId="0" xfId="34" applyNumberFormat="1" applyFont="1" applyFill="1" applyAlignment="1">
      <alignment horizontal="right"/>
    </xf>
    <xf numFmtId="167" fontId="23" fillId="0" borderId="0" xfId="34" applyNumberFormat="1" applyFont="1" applyFill="1" applyAlignment="1">
      <alignment horizontal="right"/>
    </xf>
    <xf numFmtId="2" fontId="21" fillId="0" borderId="0" xfId="34" applyNumberFormat="1" applyFont="1" applyFill="1" applyAlignment="1">
      <alignment horizontal="right"/>
    </xf>
    <xf numFmtId="0" fontId="24" fillId="0" borderId="0" xfId="36" applyFont="1"/>
    <xf numFmtId="0" fontId="17" fillId="0" borderId="0" xfId="43" applyFont="1"/>
    <xf numFmtId="0" fontId="19" fillId="33" borderId="0" xfId="43" applyFont="1" applyFill="1" applyAlignment="1">
      <alignment vertical="center"/>
    </xf>
    <xf numFmtId="0" fontId="29" fillId="33" borderId="0" xfId="43" applyFont="1" applyFill="1" applyAlignment="1">
      <alignment vertical="center" wrapText="1"/>
    </xf>
    <xf numFmtId="0" fontId="29" fillId="0" borderId="1" xfId="43" applyFont="1" applyBorder="1" applyAlignment="1">
      <alignment horizontal="center" vertical="center"/>
    </xf>
    <xf numFmtId="10" fontId="29" fillId="0" borderId="1" xfId="44" applyNumberFormat="1" applyFont="1" applyFill="1" applyBorder="1" applyAlignment="1">
      <alignment horizontal="center"/>
    </xf>
    <xf numFmtId="10" fontId="30" fillId="0" borderId="1" xfId="44" applyNumberFormat="1" applyFont="1" applyFill="1" applyBorder="1" applyAlignment="1">
      <alignment horizontal="center"/>
    </xf>
    <xf numFmtId="0" fontId="20" fillId="0" borderId="0" xfId="43" applyFont="1"/>
    <xf numFmtId="0" fontId="29" fillId="33" borderId="0" xfId="43" applyFont="1" applyFill="1" applyAlignment="1">
      <alignment horizontal="centerContinuous"/>
    </xf>
    <xf numFmtId="4" fontId="31" fillId="0" borderId="0" xfId="33" applyNumberFormat="1" applyFont="1" applyFill="1" applyBorder="1" applyAlignment="1">
      <alignment horizontal="right"/>
    </xf>
    <xf numFmtId="0" fontId="17" fillId="33" borderId="0" xfId="43" applyFont="1" applyFill="1"/>
    <xf numFmtId="4" fontId="31" fillId="33" borderId="0" xfId="33" applyNumberFormat="1" applyFont="1" applyFill="1" applyBorder="1" applyAlignment="1">
      <alignment horizontal="right"/>
    </xf>
    <xf numFmtId="4" fontId="31" fillId="33" borderId="0" xfId="33" applyNumberFormat="1" applyFont="1" applyFill="1" applyBorder="1" applyAlignment="1">
      <alignment horizontal="right" vertical="justify"/>
    </xf>
    <xf numFmtId="4" fontId="31" fillId="0" borderId="0" xfId="33" applyNumberFormat="1" applyFont="1" applyFill="1" applyBorder="1" applyAlignment="1">
      <alignment horizontal="right" vertical="center"/>
    </xf>
    <xf numFmtId="0" fontId="17" fillId="33" borderId="2" xfId="43" applyFont="1" applyFill="1" applyBorder="1"/>
    <xf numFmtId="4" fontId="31" fillId="33" borderId="2" xfId="33" applyNumberFormat="1" applyFont="1" applyFill="1" applyBorder="1" applyAlignment="1">
      <alignment horizontal="right"/>
    </xf>
    <xf numFmtId="4" fontId="31" fillId="33" borderId="0" xfId="33" applyNumberFormat="1" applyFont="1" applyFill="1" applyBorder="1" applyAlignment="1">
      <alignment horizontal="right" vertical="center"/>
    </xf>
    <xf numFmtId="4" fontId="31" fillId="0" borderId="0" xfId="33" applyNumberFormat="1" applyFont="1" applyFill="1" applyBorder="1" applyAlignment="1" applyProtection="1">
      <alignment horizontal="right"/>
    </xf>
    <xf numFmtId="4" fontId="31" fillId="33" borderId="2" xfId="33" applyNumberFormat="1" applyFont="1" applyFill="1" applyBorder="1" applyAlignment="1">
      <alignment horizontal="right" vertical="center"/>
    </xf>
    <xf numFmtId="0" fontId="17" fillId="0" borderId="2" xfId="43" applyFont="1" applyBorder="1"/>
    <xf numFmtId="4" fontId="31" fillId="0" borderId="2" xfId="33" applyNumberFormat="1" applyFont="1" applyFill="1" applyBorder="1" applyAlignment="1">
      <alignment horizontal="right"/>
    </xf>
    <xf numFmtId="0" fontId="23" fillId="0" borderId="0" xfId="43" applyFont="1"/>
    <xf numFmtId="10" fontId="17" fillId="0" borderId="0" xfId="45" applyNumberFormat="1" applyFont="1" applyFill="1" applyAlignment="1">
      <alignment horizontal="right"/>
    </xf>
    <xf numFmtId="10" fontId="29" fillId="0" borderId="0" xfId="45" applyNumberFormat="1" applyFont="1" applyFill="1" applyAlignment="1">
      <alignment horizontal="right"/>
    </xf>
    <xf numFmtId="0" fontId="23" fillId="0" borderId="0" xfId="43" applyFont="1" applyAlignment="1">
      <alignment vertical="center"/>
    </xf>
    <xf numFmtId="0" fontId="23" fillId="0" borderId="0" xfId="43" applyFont="1" applyAlignment="1">
      <alignment horizontal="left"/>
    </xf>
    <xf numFmtId="0" fontId="24" fillId="0" borderId="0" xfId="43" applyFont="1"/>
    <xf numFmtId="10" fontId="24" fillId="0" borderId="0" xfId="45" applyNumberFormat="1" applyFont="1" applyAlignment="1">
      <alignment horizontal="right"/>
    </xf>
    <xf numFmtId="0" fontId="22" fillId="0" borderId="0" xfId="43" applyFont="1"/>
    <xf numFmtId="10" fontId="29" fillId="0" borderId="1" xfId="45" applyNumberFormat="1" applyFont="1" applyFill="1" applyBorder="1" applyAlignment="1">
      <alignment horizontal="center"/>
    </xf>
    <xf numFmtId="10" fontId="30" fillId="0" borderId="1" xfId="45" applyNumberFormat="1" applyFont="1" applyFill="1" applyBorder="1" applyAlignment="1">
      <alignment horizontal="center"/>
    </xf>
    <xf numFmtId="4" fontId="24" fillId="0" borderId="0" xfId="33" applyNumberFormat="1" applyFont="1" applyFill="1" applyBorder="1" applyAlignment="1">
      <alignment horizontal="right"/>
    </xf>
    <xf numFmtId="167" fontId="24" fillId="33" borderId="0" xfId="33" applyNumberFormat="1" applyFont="1" applyFill="1" applyBorder="1" applyAlignment="1">
      <alignment horizontal="center" vertical="center"/>
    </xf>
    <xf numFmtId="0" fontId="24" fillId="33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1" fillId="33" borderId="0" xfId="33" applyNumberFormat="1" applyFont="1" applyFill="1" applyBorder="1" applyAlignment="1" applyProtection="1">
      <alignment horizontal="center" vertical="center"/>
    </xf>
    <xf numFmtId="0" fontId="31" fillId="0" borderId="0" xfId="33" applyNumberFormat="1" applyFont="1" applyFill="1" applyBorder="1" applyAlignment="1" applyProtection="1">
      <alignment horizontal="center" vertical="center"/>
    </xf>
    <xf numFmtId="0" fontId="31" fillId="0" borderId="0" xfId="33" applyNumberFormat="1" applyFont="1" applyFill="1" applyBorder="1" applyAlignment="1">
      <alignment horizontal="center" vertical="center"/>
    </xf>
    <xf numFmtId="0" fontId="31" fillId="33" borderId="0" xfId="33" applyNumberFormat="1" applyFont="1" applyFill="1" applyBorder="1" applyAlignment="1">
      <alignment horizontal="center" vertical="center"/>
    </xf>
    <xf numFmtId="2" fontId="31" fillId="33" borderId="0" xfId="33" applyNumberFormat="1" applyFont="1" applyFill="1" applyBorder="1" applyAlignment="1" applyProtection="1">
      <alignment horizontal="right" vertical="justify"/>
    </xf>
    <xf numFmtId="4" fontId="31" fillId="33" borderId="2" xfId="33" applyNumberFormat="1" applyFont="1" applyFill="1" applyBorder="1" applyAlignment="1">
      <alignment horizontal="right" vertical="justify"/>
    </xf>
    <xf numFmtId="0" fontId="24" fillId="33" borderId="0" xfId="34" applyNumberFormat="1" applyFont="1" applyFill="1" applyBorder="1" applyAlignment="1">
      <alignment horizontal="right" vertical="center"/>
    </xf>
    <xf numFmtId="4" fontId="24" fillId="33" borderId="0" xfId="34" applyNumberFormat="1" applyFont="1" applyFill="1" applyBorder="1" applyAlignment="1">
      <alignment horizontal="right"/>
    </xf>
    <xf numFmtId="4" fontId="24" fillId="33" borderId="0" xfId="34" applyNumberFormat="1" applyFont="1" applyFill="1" applyBorder="1" applyAlignment="1">
      <alignment horizontal="right" vertical="center"/>
    </xf>
    <xf numFmtId="4" fontId="24" fillId="0" borderId="0" xfId="34" applyNumberFormat="1" applyFont="1" applyFill="1" applyBorder="1" applyAlignment="1">
      <alignment horizontal="right" vertical="center"/>
    </xf>
    <xf numFmtId="4" fontId="24" fillId="0" borderId="0" xfId="34" applyNumberFormat="1" applyFont="1" applyFill="1" applyBorder="1" applyAlignment="1">
      <alignment horizontal="right"/>
    </xf>
    <xf numFmtId="4" fontId="24" fillId="0" borderId="2" xfId="34" applyNumberFormat="1" applyFont="1" applyFill="1" applyBorder="1" applyAlignment="1">
      <alignment horizontal="right"/>
    </xf>
    <xf numFmtId="4" fontId="24" fillId="0" borderId="0" xfId="34" applyNumberFormat="1" applyFont="1" applyFill="1" applyBorder="1" applyAlignment="1">
      <alignment horizontal="right" vertical="justify"/>
    </xf>
    <xf numFmtId="4" fontId="24" fillId="33" borderId="0" xfId="0" applyNumberFormat="1" applyFont="1" applyFill="1" applyAlignment="1">
      <alignment horizontal="right"/>
    </xf>
    <xf numFmtId="4" fontId="24" fillId="0" borderId="0" xfId="0" applyNumberFormat="1" applyFont="1" applyAlignment="1">
      <alignment horizontal="right"/>
    </xf>
    <xf numFmtId="4" fontId="24" fillId="33" borderId="0" xfId="0" applyNumberFormat="1" applyFont="1" applyFill="1" applyAlignment="1">
      <alignment horizontal="right" vertical="center"/>
    </xf>
    <xf numFmtId="4" fontId="24" fillId="0" borderId="0" xfId="0" applyNumberFormat="1" applyFont="1" applyAlignment="1">
      <alignment horizontal="right" vertical="center"/>
    </xf>
    <xf numFmtId="0" fontId="20" fillId="0" borderId="0" xfId="36" applyFont="1" applyAlignment="1">
      <alignment horizontal="right"/>
    </xf>
    <xf numFmtId="3" fontId="24" fillId="0" borderId="2" xfId="34" applyNumberFormat="1" applyFont="1" applyFill="1" applyBorder="1" applyAlignment="1">
      <alignment horizontal="center" vertical="center"/>
    </xf>
    <xf numFmtId="3" fontId="24" fillId="0" borderId="2" xfId="34" applyNumberFormat="1" applyFont="1" applyFill="1" applyBorder="1" applyAlignment="1">
      <alignment horizontal="right" vertical="center"/>
    </xf>
    <xf numFmtId="3" fontId="24" fillId="33" borderId="0" xfId="0" applyNumberFormat="1" applyFont="1" applyFill="1" applyAlignment="1">
      <alignment horizontal="center" vertical="center"/>
    </xf>
    <xf numFmtId="0" fontId="17" fillId="33" borderId="0" xfId="0" applyFont="1" applyFill="1"/>
    <xf numFmtId="0" fontId="17" fillId="33" borderId="2" xfId="0" applyFont="1" applyFill="1" applyBorder="1"/>
    <xf numFmtId="0" fontId="17" fillId="0" borderId="2" xfId="0" applyFont="1" applyBorder="1"/>
    <xf numFmtId="0" fontId="17" fillId="0" borderId="0" xfId="36" applyFont="1"/>
    <xf numFmtId="0" fontId="24" fillId="0" borderId="0" xfId="34" applyNumberFormat="1" applyFont="1" applyFill="1" applyBorder="1" applyAlignment="1">
      <alignment horizontal="right"/>
    </xf>
    <xf numFmtId="0" fontId="20" fillId="31" borderId="0" xfId="36" applyFont="1" applyFill="1"/>
    <xf numFmtId="0" fontId="24" fillId="33" borderId="0" xfId="0" applyFont="1" applyFill="1" applyAlignment="1">
      <alignment horizontal="right" vertical="center"/>
    </xf>
    <xf numFmtId="3" fontId="24" fillId="33" borderId="0" xfId="34" applyNumberFormat="1" applyFont="1" applyFill="1" applyBorder="1" applyAlignment="1">
      <alignment horizontal="right" vertical="justify"/>
    </xf>
    <xf numFmtId="4" fontId="24" fillId="33" borderId="0" xfId="34" applyNumberFormat="1" applyFont="1" applyFill="1" applyBorder="1" applyAlignment="1">
      <alignment horizontal="right" vertical="justify"/>
    </xf>
    <xf numFmtId="3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right" vertical="center"/>
    </xf>
    <xf numFmtId="0" fontId="31" fillId="33" borderId="2" xfId="33" applyNumberFormat="1" applyFont="1" applyFill="1" applyBorder="1" applyAlignment="1">
      <alignment horizontal="center" vertical="center"/>
    </xf>
    <xf numFmtId="4" fontId="24" fillId="0" borderId="2" xfId="34" applyNumberFormat="1" applyFont="1" applyFill="1" applyBorder="1" applyAlignment="1">
      <alignment horizontal="right" vertical="center"/>
    </xf>
    <xf numFmtId="3" fontId="24" fillId="0" borderId="0" xfId="34" applyNumberFormat="1" applyFont="1" applyFill="1" applyBorder="1" applyAlignment="1">
      <alignment horizontal="center" vertical="justify"/>
    </xf>
    <xf numFmtId="3" fontId="24" fillId="0" borderId="0" xfId="0" applyNumberFormat="1" applyFont="1" applyAlignment="1">
      <alignment horizontal="center"/>
    </xf>
    <xf numFmtId="3" fontId="24" fillId="33" borderId="0" xfId="0" applyNumberFormat="1" applyFont="1" applyFill="1" applyAlignment="1">
      <alignment horizontal="center"/>
    </xf>
    <xf numFmtId="3" fontId="24" fillId="0" borderId="0" xfId="0" applyNumberFormat="1" applyFont="1" applyAlignment="1">
      <alignment horizontal="right" vertical="center"/>
    </xf>
    <xf numFmtId="4" fontId="24" fillId="0" borderId="0" xfId="0" applyNumberFormat="1" applyFont="1" applyAlignment="1">
      <alignment horizontal="center"/>
    </xf>
    <xf numFmtId="2" fontId="24" fillId="33" borderId="0" xfId="34" applyNumberFormat="1" applyFont="1" applyFill="1" applyBorder="1" applyAlignment="1">
      <alignment horizontal="center" vertical="center"/>
    </xf>
    <xf numFmtId="2" fontId="24" fillId="0" borderId="0" xfId="34" applyNumberFormat="1" applyFont="1" applyFill="1" applyBorder="1" applyAlignment="1">
      <alignment horizontal="center" vertical="center"/>
    </xf>
    <xf numFmtId="2" fontId="24" fillId="0" borderId="2" xfId="34" applyNumberFormat="1" applyFont="1" applyFill="1" applyBorder="1" applyAlignment="1">
      <alignment horizontal="center" vertical="center"/>
    </xf>
    <xf numFmtId="2" fontId="24" fillId="33" borderId="0" xfId="0" applyNumberFormat="1" applyFont="1" applyFill="1" applyAlignment="1">
      <alignment horizontal="center" vertical="center"/>
    </xf>
    <xf numFmtId="2" fontId="24" fillId="0" borderId="0" xfId="0" applyNumberFormat="1" applyFont="1" applyAlignment="1">
      <alignment horizontal="center" vertical="center"/>
    </xf>
    <xf numFmtId="3" fontId="24" fillId="33" borderId="0" xfId="0" applyNumberFormat="1" applyFont="1" applyFill="1" applyAlignment="1">
      <alignment horizontal="right" vertical="center"/>
    </xf>
    <xf numFmtId="0" fontId="21" fillId="33" borderId="3" xfId="0" applyFont="1" applyFill="1" applyBorder="1" applyAlignment="1">
      <alignment horizontal="centerContinuous"/>
    </xf>
    <xf numFmtId="4" fontId="21" fillId="33" borderId="3" xfId="0" applyNumberFormat="1" applyFont="1" applyFill="1" applyBorder="1" applyAlignment="1">
      <alignment horizontal="centerContinuous"/>
    </xf>
    <xf numFmtId="0" fontId="21" fillId="32" borderId="9" xfId="0" applyFont="1" applyFill="1" applyBorder="1" applyAlignment="1">
      <alignment horizontal="centerContinuous"/>
    </xf>
    <xf numFmtId="0" fontId="21" fillId="32" borderId="1" xfId="0" applyFont="1" applyFill="1" applyBorder="1" applyAlignment="1">
      <alignment horizontal="centerContinuous"/>
    </xf>
    <xf numFmtId="4" fontId="21" fillId="32" borderId="1" xfId="0" applyNumberFormat="1" applyFont="1" applyFill="1" applyBorder="1" applyAlignment="1">
      <alignment horizontal="centerContinuous"/>
    </xf>
    <xf numFmtId="4" fontId="31" fillId="33" borderId="2" xfId="33" applyNumberFormat="1" applyFont="1" applyFill="1" applyBorder="1" applyAlignment="1">
      <alignment horizontal="center" vertical="center"/>
    </xf>
    <xf numFmtId="4" fontId="31" fillId="33" borderId="0" xfId="33" applyNumberFormat="1" applyFont="1" applyFill="1" applyBorder="1" applyAlignment="1">
      <alignment horizontal="center" vertical="center"/>
    </xf>
    <xf numFmtId="2" fontId="24" fillId="33" borderId="0" xfId="0" applyNumberFormat="1" applyFont="1" applyFill="1" applyAlignment="1">
      <alignment horizontal="right" vertical="center"/>
    </xf>
    <xf numFmtId="4" fontId="31" fillId="0" borderId="0" xfId="33" applyNumberFormat="1" applyFont="1" applyFill="1" applyBorder="1" applyAlignment="1">
      <alignment horizontal="center" vertical="center"/>
    </xf>
    <xf numFmtId="4" fontId="29" fillId="33" borderId="0" xfId="33" applyNumberFormat="1" applyFont="1" applyFill="1" applyBorder="1" applyAlignment="1">
      <alignment horizontal="right"/>
    </xf>
    <xf numFmtId="0" fontId="27" fillId="32" borderId="0" xfId="0" applyFont="1" applyFill="1" applyAlignment="1">
      <alignment horizontal="center" vertical="center" wrapText="1"/>
    </xf>
    <xf numFmtId="0" fontId="25" fillId="31" borderId="0" xfId="0" applyFont="1" applyFill="1" applyAlignment="1">
      <alignment horizontal="center"/>
    </xf>
    <xf numFmtId="0" fontId="26" fillId="34" borderId="0" xfId="0" applyFont="1" applyFill="1" applyAlignment="1">
      <alignment horizontal="center" vertical="center" wrapText="1"/>
    </xf>
    <xf numFmtId="0" fontId="23" fillId="0" borderId="0" xfId="36" applyFont="1" applyAlignment="1">
      <alignment horizontal="left" vertical="center" wrapText="1"/>
    </xf>
    <xf numFmtId="0" fontId="23" fillId="0" borderId="0" xfId="36" applyFont="1" applyAlignment="1">
      <alignment horizontal="left" vertical="center"/>
    </xf>
    <xf numFmtId="0" fontId="18" fillId="34" borderId="0" xfId="0" applyFont="1" applyFill="1" applyAlignment="1">
      <alignment horizontal="center" vertical="center" wrapText="1"/>
    </xf>
    <xf numFmtId="167" fontId="22" fillId="0" borderId="1" xfId="33" applyNumberFormat="1" applyFont="1" applyFill="1" applyBorder="1" applyAlignment="1">
      <alignment horizontal="center"/>
    </xf>
    <xf numFmtId="167" fontId="21" fillId="0" borderId="1" xfId="33" applyNumberFormat="1" applyFont="1" applyFill="1" applyBorder="1" applyAlignment="1">
      <alignment horizontal="center"/>
    </xf>
    <xf numFmtId="0" fontId="21" fillId="0" borderId="3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8" fillId="34" borderId="0" xfId="43" applyFont="1" applyFill="1" applyAlignment="1">
      <alignment horizontal="center" vertical="center" wrapText="1"/>
    </xf>
    <xf numFmtId="0" fontId="23" fillId="0" borderId="2" xfId="0" applyFont="1" applyBorder="1"/>
    <xf numFmtId="3" fontId="24" fillId="0" borderId="2" xfId="0" applyNumberFormat="1" applyFont="1" applyBorder="1" applyAlignment="1">
      <alignment horizontal="right"/>
    </xf>
    <xf numFmtId="4" fontId="24" fillId="0" borderId="2" xfId="0" applyNumberFormat="1" applyFont="1" applyBorder="1" applyAlignment="1">
      <alignment horizontal="right"/>
    </xf>
    <xf numFmtId="3" fontId="24" fillId="0" borderId="2" xfId="0" applyNumberFormat="1" applyFont="1" applyBorder="1" applyAlignment="1">
      <alignment horizontal="right" vertical="center"/>
    </xf>
    <xf numFmtId="4" fontId="24" fillId="0" borderId="2" xfId="0" applyNumberFormat="1" applyFont="1" applyBorder="1" applyAlignment="1">
      <alignment horizontal="right" vertical="center"/>
    </xf>
    <xf numFmtId="3" fontId="24" fillId="0" borderId="2" xfId="0" applyNumberFormat="1" applyFont="1" applyBorder="1" applyAlignment="1">
      <alignment horizontal="center"/>
    </xf>
    <xf numFmtId="2" fontId="24" fillId="0" borderId="2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right" vertical="center"/>
    </xf>
  </cellXfs>
  <cellStyles count="46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 2" xfId="19" xr:uid="{00000000-0005-0000-0000-000012000000}"/>
    <cellStyle name="Celda vinculada" xfId="20" builtinId="24" customBuiltin="1"/>
    <cellStyle name="Encabezado 4" xfId="21" builtinId="19" customBuiltin="1"/>
    <cellStyle name="Énfasis1" xfId="22" builtinId="29" customBuiltin="1"/>
    <cellStyle name="Énfasis2" xfId="23" builtinId="33" customBuiltin="1"/>
    <cellStyle name="Énfasis3" xfId="24" builtinId="37" customBuiltin="1"/>
    <cellStyle name="Énfasis4" xfId="25" builtinId="41" customBuiltin="1"/>
    <cellStyle name="Énfasis5" xfId="26" builtinId="45" customBuiltin="1"/>
    <cellStyle name="Énfasis6" xfId="27" builtinId="49" customBuiltin="1"/>
    <cellStyle name="Entrada" xfId="28" builtinId="20" customBuiltin="1"/>
    <cellStyle name="Euro" xfId="29" xr:uid="{00000000-0005-0000-0000-00001C000000}"/>
    <cellStyle name="Euro 2" xfId="30" xr:uid="{00000000-0005-0000-0000-00001D000000}"/>
    <cellStyle name="Hipervínculo" xfId="31" builtinId="8"/>
    <cellStyle name="Incorrecto" xfId="32" builtinId="27" customBuiltin="1"/>
    <cellStyle name="Millares" xfId="33" builtinId="3"/>
    <cellStyle name="Millares 2" xfId="34" xr:uid="{00000000-0005-0000-0000-000021000000}"/>
    <cellStyle name="Neutral" xfId="35" builtinId="28" customBuiltin="1"/>
    <cellStyle name="Normal" xfId="0" builtinId="0"/>
    <cellStyle name="Normal 2" xfId="36" xr:uid="{00000000-0005-0000-0000-000024000000}"/>
    <cellStyle name="Normal 3" xfId="43" xr:uid="{674C42A4-B064-4353-9D04-968834AD136F}"/>
    <cellStyle name="Notas 2" xfId="37" xr:uid="{00000000-0005-0000-0000-000025000000}"/>
    <cellStyle name="Porcentaje 2" xfId="38" xr:uid="{00000000-0005-0000-0000-000026000000}"/>
    <cellStyle name="Porcentaje 2 2" xfId="45" xr:uid="{D14C4C04-AF22-4D25-B65E-B19B91AE0366}"/>
    <cellStyle name="Porcentaje 3" xfId="39" xr:uid="{00000000-0005-0000-0000-000027000000}"/>
    <cellStyle name="Porcentaje 4" xfId="44" xr:uid="{CF6C299B-C562-4F38-84BF-B1724B9C16BA}"/>
    <cellStyle name="Salida 2" xfId="40" xr:uid="{00000000-0005-0000-0000-000029000000}"/>
    <cellStyle name="Título" xfId="41" builtinId="15" customBuiltin="1"/>
    <cellStyle name="Total" xfId="42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DDDDD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117923</xdr:colOff>
      <xdr:row>0</xdr:row>
      <xdr:rowOff>117922</xdr:rowOff>
    </xdr:from>
    <xdr:to>
      <xdr:col>11</xdr:col>
      <xdr:colOff>794799</xdr:colOff>
      <xdr:row>3</xdr:row>
      <xdr:rowOff>226786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46F869A5-040C-A07A-895E-A02D15904AB2}"/>
            </a:ext>
          </a:extLst>
        </xdr:cNvPr>
        <xdr:cNvGrpSpPr/>
      </xdr:nvGrpSpPr>
      <xdr:grpSpPr>
        <a:xfrm>
          <a:off x="117923" y="117922"/>
          <a:ext cx="9276590" cy="952507"/>
          <a:chOff x="117923" y="117922"/>
          <a:chExt cx="9276590" cy="952507"/>
        </a:xfrm>
      </xdr:grpSpPr>
      <xdr:pic>
        <xdr:nvPicPr>
          <xdr:cNvPr id="7" name="Imagen 12">
            <a:extLst>
              <a:ext uri="{FF2B5EF4-FFF2-40B4-BE49-F238E27FC236}">
                <a16:creationId xmlns:a16="http://schemas.microsoft.com/office/drawing/2014/main" id="{EC5C623D-E846-7844-B31F-7ED4E0C818E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5" t="45454" r="978" b="19910"/>
          <a:stretch>
            <a:fillRect/>
          </a:stretch>
        </xdr:blipFill>
        <xdr:spPr bwMode="auto">
          <a:xfrm>
            <a:off x="117923" y="1020733"/>
            <a:ext cx="9276590" cy="496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9" name="Imagen 17">
            <a:extLst>
              <a:ext uri="{FF2B5EF4-FFF2-40B4-BE49-F238E27FC236}">
                <a16:creationId xmlns:a16="http://schemas.microsoft.com/office/drawing/2014/main" id="{6C708EB2-DBDC-7983-BB8E-AA47F03ADFF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06568" y="117922"/>
            <a:ext cx="1762635" cy="58807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1" name="Imagen 17">
            <a:extLst>
              <a:ext uri="{FF2B5EF4-FFF2-40B4-BE49-F238E27FC236}">
                <a16:creationId xmlns:a16="http://schemas.microsoft.com/office/drawing/2014/main" id="{C2267695-EF5B-4C04-A0D5-31E4797E5AD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876143" y="126997"/>
            <a:ext cx="1758581" cy="5048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104588</xdr:colOff>
      <xdr:row>0</xdr:row>
      <xdr:rowOff>112058</xdr:rowOff>
    </xdr:from>
    <xdr:to>
      <xdr:col>16</xdr:col>
      <xdr:colOff>371649</xdr:colOff>
      <xdr:row>2</xdr:row>
      <xdr:rowOff>459447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9FB54041-51D8-4BD6-BBB9-7DD6309018B8}"/>
            </a:ext>
          </a:extLst>
        </xdr:cNvPr>
        <xdr:cNvGrpSpPr/>
      </xdr:nvGrpSpPr>
      <xdr:grpSpPr>
        <a:xfrm>
          <a:off x="104588" y="112058"/>
          <a:ext cx="9276590" cy="952507"/>
          <a:chOff x="117923" y="117922"/>
          <a:chExt cx="9276590" cy="952507"/>
        </a:xfrm>
      </xdr:grpSpPr>
      <xdr:pic>
        <xdr:nvPicPr>
          <xdr:cNvPr id="6" name="Imagen 12">
            <a:extLst>
              <a:ext uri="{FF2B5EF4-FFF2-40B4-BE49-F238E27FC236}">
                <a16:creationId xmlns:a16="http://schemas.microsoft.com/office/drawing/2014/main" id="{5A36D389-2E3D-D7C7-A7A3-BBD70601280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5" t="45454" r="978" b="19910"/>
          <a:stretch>
            <a:fillRect/>
          </a:stretch>
        </xdr:blipFill>
        <xdr:spPr bwMode="auto">
          <a:xfrm>
            <a:off x="117923" y="1020733"/>
            <a:ext cx="9276590" cy="496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7" name="Imagen 17">
            <a:extLst>
              <a:ext uri="{FF2B5EF4-FFF2-40B4-BE49-F238E27FC236}">
                <a16:creationId xmlns:a16="http://schemas.microsoft.com/office/drawing/2014/main" id="{3DED9682-B4FD-F0E7-2B10-7115A8D1CCC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06568" y="117922"/>
            <a:ext cx="1762635" cy="58807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8" name="Imagen 17">
            <a:extLst>
              <a:ext uri="{FF2B5EF4-FFF2-40B4-BE49-F238E27FC236}">
                <a16:creationId xmlns:a16="http://schemas.microsoft.com/office/drawing/2014/main" id="{C603BE59-7FB2-9130-FC01-28DCC9F625D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876143" y="126997"/>
            <a:ext cx="1758581" cy="5048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82550</xdr:rowOff>
    </xdr:from>
    <xdr:to>
      <xdr:col>9</xdr:col>
      <xdr:colOff>31750</xdr:colOff>
      <xdr:row>2</xdr:row>
      <xdr:rowOff>231605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4AD5341D-277B-4E5A-A250-7FF3DAB63E31}"/>
            </a:ext>
          </a:extLst>
        </xdr:cNvPr>
        <xdr:cNvGrpSpPr>
          <a:grpSpLocks noChangeAspect="1"/>
        </xdr:cNvGrpSpPr>
      </xdr:nvGrpSpPr>
      <xdr:grpSpPr>
        <a:xfrm>
          <a:off x="25400" y="82550"/>
          <a:ext cx="7759700" cy="796755"/>
          <a:chOff x="117923" y="117922"/>
          <a:chExt cx="9276590" cy="952507"/>
        </a:xfrm>
      </xdr:grpSpPr>
      <xdr:pic>
        <xdr:nvPicPr>
          <xdr:cNvPr id="8" name="Imagen 12">
            <a:extLst>
              <a:ext uri="{FF2B5EF4-FFF2-40B4-BE49-F238E27FC236}">
                <a16:creationId xmlns:a16="http://schemas.microsoft.com/office/drawing/2014/main" id="{2EED3DA3-D9D1-F5AC-8C3F-95B31FE8E9D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5" t="45454" r="978" b="19910"/>
          <a:stretch>
            <a:fillRect/>
          </a:stretch>
        </xdr:blipFill>
        <xdr:spPr bwMode="auto">
          <a:xfrm>
            <a:off x="117923" y="1020733"/>
            <a:ext cx="9276590" cy="496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9" name="Imagen 17">
            <a:extLst>
              <a:ext uri="{FF2B5EF4-FFF2-40B4-BE49-F238E27FC236}">
                <a16:creationId xmlns:a16="http://schemas.microsoft.com/office/drawing/2014/main" id="{A10EFA9F-8DCD-3A34-28E2-39F02B0C08A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06568" y="117922"/>
            <a:ext cx="1762635" cy="58807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0" name="Imagen 17">
            <a:extLst>
              <a:ext uri="{FF2B5EF4-FFF2-40B4-BE49-F238E27FC236}">
                <a16:creationId xmlns:a16="http://schemas.microsoft.com/office/drawing/2014/main" id="{E8063692-60C0-AB45-F120-E52658D44A3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876143" y="126997"/>
            <a:ext cx="1758581" cy="5048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95250</xdr:rowOff>
    </xdr:from>
    <xdr:to>
      <xdr:col>9</xdr:col>
      <xdr:colOff>6350</xdr:colOff>
      <xdr:row>2</xdr:row>
      <xdr:rowOff>237955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id="{D6741C9D-BFC4-4D3D-ACA4-758A8756284A}"/>
            </a:ext>
          </a:extLst>
        </xdr:cNvPr>
        <xdr:cNvGrpSpPr>
          <a:grpSpLocks noChangeAspect="1"/>
        </xdr:cNvGrpSpPr>
      </xdr:nvGrpSpPr>
      <xdr:grpSpPr>
        <a:xfrm>
          <a:off x="0" y="95250"/>
          <a:ext cx="7759700" cy="796755"/>
          <a:chOff x="117923" y="117922"/>
          <a:chExt cx="9276590" cy="952507"/>
        </a:xfrm>
      </xdr:grpSpPr>
      <xdr:pic>
        <xdr:nvPicPr>
          <xdr:cNvPr id="12" name="Imagen 12">
            <a:extLst>
              <a:ext uri="{FF2B5EF4-FFF2-40B4-BE49-F238E27FC236}">
                <a16:creationId xmlns:a16="http://schemas.microsoft.com/office/drawing/2014/main" id="{94CFBC04-A8B5-CFA4-DB15-DAB1CC7293C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5" t="45454" r="978" b="19910"/>
          <a:stretch>
            <a:fillRect/>
          </a:stretch>
        </xdr:blipFill>
        <xdr:spPr bwMode="auto">
          <a:xfrm>
            <a:off x="117923" y="1020733"/>
            <a:ext cx="9276590" cy="496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3" name="Imagen 17">
            <a:extLst>
              <a:ext uri="{FF2B5EF4-FFF2-40B4-BE49-F238E27FC236}">
                <a16:creationId xmlns:a16="http://schemas.microsoft.com/office/drawing/2014/main" id="{60EA8724-E23F-B333-91F3-EAD0B5C0C7C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06568" y="117922"/>
            <a:ext cx="1762635" cy="58807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4" name="Imagen 17">
            <a:extLst>
              <a:ext uri="{FF2B5EF4-FFF2-40B4-BE49-F238E27FC236}">
                <a16:creationId xmlns:a16="http://schemas.microsoft.com/office/drawing/2014/main" id="{5FF1FA69-5445-F33D-7F14-CBD60944602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876143" y="126997"/>
            <a:ext cx="1758581" cy="5048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N19"/>
  <sheetViews>
    <sheetView showGridLines="0" tabSelected="1" zoomScale="70" zoomScaleNormal="70" workbookViewId="0">
      <selection activeCell="A14" sqref="A14"/>
    </sheetView>
  </sheetViews>
  <sheetFormatPr baseColWidth="10" defaultColWidth="11.453125" defaultRowHeight="16" x14ac:dyDescent="0.45"/>
  <cols>
    <col min="1" max="1" width="6.26953125" style="14" customWidth="1"/>
    <col min="2" max="2" width="11.453125" style="9"/>
    <col min="3" max="3" width="14" style="9" customWidth="1"/>
    <col min="4" max="16384" width="11.453125" style="9"/>
  </cols>
  <sheetData>
    <row r="1" spans="1:14" ht="22" customHeight="1" x14ac:dyDescent="0.45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</row>
    <row r="2" spans="1:14" ht="22" customHeight="1" x14ac:dyDescent="0.45">
      <c r="A2" s="140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</row>
    <row r="3" spans="1:14" ht="22" customHeight="1" x14ac:dyDescent="0.45">
      <c r="A3" s="140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N3" s="4"/>
    </row>
    <row r="4" spans="1:14" ht="22" customHeight="1" x14ac:dyDescent="0.45">
      <c r="A4" s="140"/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</row>
    <row r="5" spans="1:14" ht="36" customHeight="1" x14ac:dyDescent="0.45">
      <c r="A5" s="141" t="s">
        <v>48</v>
      </c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</row>
    <row r="6" spans="1:14" ht="31.5" customHeight="1" x14ac:dyDescent="0.45">
      <c r="A6" s="141"/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4" x14ac:dyDescent="0.45">
      <c r="A7" s="139" t="s">
        <v>86</v>
      </c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</row>
    <row r="8" spans="1:14" ht="15" customHeight="1" x14ac:dyDescent="0.45">
      <c r="A8" s="139"/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</row>
    <row r="9" spans="1:14" x14ac:dyDescent="0.45">
      <c r="A9" s="139"/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</row>
    <row r="10" spans="1:14" s="10" customFormat="1" ht="31.5" customHeight="1" x14ac:dyDescent="0.25">
      <c r="A10" s="19" t="str">
        <f>+"Anexo 1. "&amp;'Anexo 1'!A6&amp;" "&amp;'Anexo 1'!A7</f>
        <v>Anexo 1. Comportamiento de los precios mayoristas de los principales alimentos en las principales ocho ciudades. Variación mensual. Agosto de 2023</v>
      </c>
    </row>
    <row r="11" spans="1:14" s="10" customFormat="1" ht="31.5" customHeight="1" x14ac:dyDescent="0.25">
      <c r="A11" s="19" t="str">
        <f>+"Anexo 2. "&amp;'Anexo 2'!A6&amp;" "&amp;'Anexo 2'!A7</f>
        <v>Anexo 2. Comportamiento de los precios mayoristas de los principales alimentos en las principales ocho ciudades. Variación año corrido. Agosto de 2023</v>
      </c>
    </row>
    <row r="12" spans="1:14" s="10" customFormat="1" ht="31.5" customHeight="1" x14ac:dyDescent="0.25">
      <c r="A12" s="19" t="str">
        <f>+"Anexo 3. "&amp;'Anexo 3'!A6&amp;" "&amp;'Anexo 3'!A7</f>
        <v>Anexo 3. Comportamiento de los precios mayoristas de los principales alimentos en las principales ocho ciudades. Variación anual. Agosto de 2023</v>
      </c>
    </row>
    <row r="13" spans="1:14" x14ac:dyDescent="0.45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4" ht="18.75" customHeight="1" x14ac:dyDescent="0.45">
      <c r="A14" s="13" t="s">
        <v>87</v>
      </c>
    </row>
    <row r="15" spans="1:14" s="4" customFormat="1" ht="30" customHeight="1" x14ac:dyDescent="0.45"/>
    <row r="16" spans="1:14" s="4" customFormat="1" ht="32.25" customHeight="1" x14ac:dyDescent="0.45"/>
    <row r="17" spans="1:1" s="4" customFormat="1" ht="34.5" customHeight="1" x14ac:dyDescent="0.45"/>
    <row r="18" spans="1:1" s="4" customFormat="1" x14ac:dyDescent="0.45"/>
    <row r="19" spans="1:1" x14ac:dyDescent="0.45">
      <c r="A19" s="9"/>
    </row>
  </sheetData>
  <mergeCells count="3">
    <mergeCell ref="A7:L9"/>
    <mergeCell ref="A1:L4"/>
    <mergeCell ref="A5:L6"/>
  </mergeCells>
  <phoneticPr fontId="3" type="noConversion"/>
  <hyperlinks>
    <hyperlink ref="A10" location="'Anexo 1'!A1" display="'Anexo 1'!A1" xr:uid="{00000000-0004-0000-0000-000000000000}"/>
    <hyperlink ref="A11" location="'Anexo 1'!A1" display="'Anexo 1'!A1" xr:uid="{549AA18A-F416-4462-A600-6B2E456340C2}"/>
    <hyperlink ref="A12" location="'Anexo 1'!A1" display="'Anexo 1'!A1" xr:uid="{0B4092F7-A9A7-4AEB-82ED-D56014BF70B6}"/>
  </hyperlinks>
  <pageMargins left="0.7" right="0.7" top="0.75" bottom="0.75" header="0.3" footer="0.3"/>
  <pageSetup scale="5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79"/>
  <sheetViews>
    <sheetView showGridLines="0" zoomScale="85" zoomScaleNormal="85" workbookViewId="0">
      <selection activeCell="A4" sqref="A4:Q5"/>
    </sheetView>
  </sheetViews>
  <sheetFormatPr baseColWidth="10" defaultColWidth="11.453125" defaultRowHeight="16" x14ac:dyDescent="0.45"/>
  <cols>
    <col min="1" max="1" width="24.453125" style="4" customWidth="1"/>
    <col min="2" max="2" width="7.1796875" style="4" customWidth="1"/>
    <col min="3" max="3" width="6.7265625" style="18" customWidth="1"/>
    <col min="4" max="4" width="7.1796875" style="4" customWidth="1"/>
    <col min="5" max="5" width="6.7265625" style="18" customWidth="1"/>
    <col min="6" max="6" width="7.1796875" style="4" customWidth="1"/>
    <col min="7" max="7" width="6.7265625" style="18" customWidth="1"/>
    <col min="8" max="8" width="7.1796875" style="4" customWidth="1"/>
    <col min="9" max="9" width="6.7265625" style="18" customWidth="1"/>
    <col min="10" max="10" width="7.1796875" style="4" customWidth="1"/>
    <col min="11" max="11" width="6.7265625" style="18" customWidth="1"/>
    <col min="12" max="12" width="7.1796875" style="4" customWidth="1"/>
    <col min="13" max="13" width="6.7265625" style="18" customWidth="1"/>
    <col min="14" max="14" width="7.1796875" style="4" customWidth="1"/>
    <col min="15" max="15" width="6.7265625" style="18" customWidth="1"/>
    <col min="16" max="16" width="7.1796875" style="4" customWidth="1"/>
    <col min="17" max="17" width="6.7265625" style="18" customWidth="1"/>
    <col min="18" max="16384" width="11.453125" style="4"/>
  </cols>
  <sheetData>
    <row r="1" spans="1:17" s="1" customFormat="1" ht="14" x14ac:dyDescent="0.4">
      <c r="C1" s="16"/>
      <c r="E1" s="16"/>
      <c r="G1" s="16"/>
      <c r="I1" s="16"/>
      <c r="K1" s="16"/>
      <c r="M1" s="16"/>
      <c r="O1" s="16"/>
      <c r="Q1" s="16"/>
    </row>
    <row r="2" spans="1:17" s="1" customFormat="1" ht="33.75" customHeight="1" x14ac:dyDescent="0.4">
      <c r="C2" s="16"/>
      <c r="E2" s="16"/>
      <c r="G2" s="16"/>
      <c r="I2" s="16"/>
      <c r="K2" s="16"/>
      <c r="M2" s="16"/>
      <c r="O2" s="16"/>
      <c r="Q2" s="16"/>
    </row>
    <row r="3" spans="1:17" s="1" customFormat="1" ht="40.5" customHeight="1" x14ac:dyDescent="0.4">
      <c r="C3" s="16"/>
      <c r="E3" s="16"/>
      <c r="G3" s="16"/>
      <c r="I3" s="16"/>
      <c r="K3" s="16"/>
      <c r="M3" s="16"/>
      <c r="O3" s="16"/>
      <c r="Q3" s="16"/>
    </row>
    <row r="4" spans="1:17" s="1" customFormat="1" ht="18.75" customHeight="1" x14ac:dyDescent="0.4">
      <c r="A4" s="144" t="s">
        <v>0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</row>
    <row r="5" spans="1:17" s="1" customFormat="1" ht="24" customHeight="1" x14ac:dyDescent="0.4">
      <c r="A5" s="144"/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144"/>
    </row>
    <row r="6" spans="1:17" ht="18.75" customHeight="1" x14ac:dyDescent="0.45">
      <c r="A6" s="2" t="s">
        <v>16</v>
      </c>
      <c r="B6" s="3"/>
      <c r="C6" s="17"/>
      <c r="D6" s="3"/>
      <c r="E6" s="17"/>
      <c r="F6" s="3"/>
      <c r="G6" s="17"/>
      <c r="H6" s="3"/>
      <c r="I6" s="17"/>
      <c r="J6" s="3"/>
      <c r="K6" s="17"/>
      <c r="L6" s="3"/>
      <c r="M6" s="17"/>
      <c r="N6" s="3"/>
      <c r="O6" s="17"/>
      <c r="P6" s="3"/>
      <c r="Q6" s="17"/>
    </row>
    <row r="7" spans="1:17" ht="19.5" customHeight="1" x14ac:dyDescent="0.45">
      <c r="A7" s="2" t="s">
        <v>88</v>
      </c>
      <c r="B7" s="3"/>
      <c r="C7" s="17"/>
      <c r="D7" s="3"/>
      <c r="E7" s="17"/>
      <c r="F7" s="3"/>
      <c r="G7" s="17"/>
      <c r="H7" s="3"/>
      <c r="I7" s="17"/>
      <c r="J7" s="3"/>
      <c r="K7" s="17"/>
      <c r="L7" s="3"/>
      <c r="M7" s="17"/>
      <c r="N7" s="3"/>
      <c r="O7" s="17"/>
      <c r="P7" s="3"/>
      <c r="Q7" s="17"/>
    </row>
    <row r="8" spans="1:17" s="1" customFormat="1" ht="14" x14ac:dyDescent="0.4">
      <c r="C8" s="16"/>
      <c r="E8" s="16"/>
      <c r="G8" s="16"/>
      <c r="I8" s="16"/>
      <c r="K8" s="16"/>
      <c r="M8" s="16"/>
      <c r="O8" s="16"/>
      <c r="Q8" s="16"/>
    </row>
    <row r="9" spans="1:17" x14ac:dyDescent="0.45">
      <c r="A9" s="147" t="s">
        <v>1</v>
      </c>
      <c r="B9" s="146" t="s">
        <v>2</v>
      </c>
      <c r="C9" s="146"/>
      <c r="D9" s="146" t="s">
        <v>3</v>
      </c>
      <c r="E9" s="146"/>
      <c r="F9" s="146" t="s">
        <v>4</v>
      </c>
      <c r="G9" s="146"/>
      <c r="H9" s="145" t="s">
        <v>5</v>
      </c>
      <c r="I9" s="145"/>
      <c r="J9" s="146" t="s">
        <v>6</v>
      </c>
      <c r="K9" s="146"/>
      <c r="L9" s="146" t="s">
        <v>7</v>
      </c>
      <c r="M9" s="146"/>
      <c r="N9" s="146" t="s">
        <v>8</v>
      </c>
      <c r="O9" s="146"/>
      <c r="P9" s="146" t="s">
        <v>9</v>
      </c>
      <c r="Q9" s="146"/>
    </row>
    <row r="10" spans="1:17" x14ac:dyDescent="0.45">
      <c r="A10" s="148"/>
      <c r="B10" s="5" t="s">
        <v>10</v>
      </c>
      <c r="C10" s="20" t="s">
        <v>11</v>
      </c>
      <c r="D10" s="5" t="s">
        <v>10</v>
      </c>
      <c r="E10" s="20" t="s">
        <v>11</v>
      </c>
      <c r="F10" s="5" t="s">
        <v>10</v>
      </c>
      <c r="G10" s="20" t="s">
        <v>11</v>
      </c>
      <c r="H10" s="5" t="s">
        <v>10</v>
      </c>
      <c r="I10" s="20" t="s">
        <v>11</v>
      </c>
      <c r="J10" s="5" t="s">
        <v>10</v>
      </c>
      <c r="K10" s="20" t="s">
        <v>11</v>
      </c>
      <c r="L10" s="5" t="s">
        <v>10</v>
      </c>
      <c r="M10" s="20" t="s">
        <v>11</v>
      </c>
      <c r="N10" s="5" t="s">
        <v>10</v>
      </c>
      <c r="O10" s="20" t="s">
        <v>11</v>
      </c>
      <c r="P10" s="5" t="s">
        <v>10</v>
      </c>
      <c r="Q10" s="20" t="s">
        <v>11</v>
      </c>
    </row>
    <row r="11" spans="1:17" s="108" customFormat="1" ht="12" customHeight="1" x14ac:dyDescent="0.4">
      <c r="A11" s="129" t="s">
        <v>17</v>
      </c>
      <c r="B11" s="129"/>
      <c r="C11" s="130"/>
      <c r="D11" s="129"/>
      <c r="E11" s="130"/>
      <c r="F11" s="129"/>
      <c r="G11" s="130"/>
      <c r="H11" s="129"/>
      <c r="I11" s="130"/>
      <c r="J11" s="129"/>
      <c r="K11" s="130"/>
      <c r="L11" s="129"/>
      <c r="M11" s="130"/>
      <c r="N11" s="129"/>
      <c r="O11" s="130"/>
      <c r="P11" s="129"/>
      <c r="Q11" s="130"/>
    </row>
    <row r="12" spans="1:17" s="108" customFormat="1" ht="12" customHeight="1" x14ac:dyDescent="0.4">
      <c r="A12" s="21" t="s">
        <v>18</v>
      </c>
      <c r="B12" s="23">
        <v>1010</v>
      </c>
      <c r="C12" s="90">
        <v>-11.25</v>
      </c>
      <c r="D12" s="22">
        <v>1776</v>
      </c>
      <c r="E12" s="91">
        <v>4.29</v>
      </c>
      <c r="F12" s="22">
        <v>1296</v>
      </c>
      <c r="G12" s="91">
        <v>-8.4700000000000006</v>
      </c>
      <c r="H12" s="28" t="s">
        <v>91</v>
      </c>
      <c r="I12" s="123" t="s">
        <v>92</v>
      </c>
      <c r="J12" s="22">
        <v>1158</v>
      </c>
      <c r="K12" s="91">
        <v>6.14</v>
      </c>
      <c r="L12" s="22">
        <v>1545</v>
      </c>
      <c r="M12" s="91">
        <v>9.26</v>
      </c>
      <c r="N12" s="22">
        <v>929</v>
      </c>
      <c r="O12" s="91">
        <v>14.69</v>
      </c>
      <c r="P12" s="23">
        <v>1637</v>
      </c>
      <c r="Q12" s="92">
        <v>-0.06</v>
      </c>
    </row>
    <row r="13" spans="1:17" s="108" customFormat="1" ht="12" customHeight="1" x14ac:dyDescent="0.4">
      <c r="A13" s="24" t="s">
        <v>19</v>
      </c>
      <c r="B13" s="26">
        <v>9946</v>
      </c>
      <c r="C13" s="93">
        <v>0</v>
      </c>
      <c r="D13" s="26">
        <v>7209</v>
      </c>
      <c r="E13" s="94">
        <v>-12.99</v>
      </c>
      <c r="F13" s="26">
        <v>8500</v>
      </c>
      <c r="G13" s="94">
        <v>23.4</v>
      </c>
      <c r="H13" s="30" t="s">
        <v>91</v>
      </c>
      <c r="I13" s="124" t="s">
        <v>92</v>
      </c>
      <c r="J13" s="26">
        <v>6624</v>
      </c>
      <c r="K13" s="93">
        <v>-8.15</v>
      </c>
      <c r="L13" s="26">
        <v>8441</v>
      </c>
      <c r="M13" s="94">
        <v>2.84</v>
      </c>
      <c r="N13" s="26">
        <v>5106</v>
      </c>
      <c r="O13" s="94">
        <v>-0.6</v>
      </c>
      <c r="P13" s="27">
        <v>5180</v>
      </c>
      <c r="Q13" s="93" t="s">
        <v>92</v>
      </c>
    </row>
    <row r="14" spans="1:17" s="108" customFormat="1" ht="12" customHeight="1" x14ac:dyDescent="0.4">
      <c r="A14" s="21" t="s">
        <v>20</v>
      </c>
      <c r="B14" s="112">
        <v>3306</v>
      </c>
      <c r="C14" s="113">
        <v>66.13</v>
      </c>
      <c r="D14" s="22">
        <v>2912</v>
      </c>
      <c r="E14" s="91">
        <v>81.209999999999994</v>
      </c>
      <c r="F14" s="22">
        <v>2680</v>
      </c>
      <c r="G14" s="91">
        <v>87.41</v>
      </c>
      <c r="H14" s="22">
        <v>3346</v>
      </c>
      <c r="I14" s="91">
        <v>64.989999999999995</v>
      </c>
      <c r="J14" s="112">
        <v>3464</v>
      </c>
      <c r="K14" s="113">
        <v>85.44</v>
      </c>
      <c r="L14" s="22">
        <v>2965</v>
      </c>
      <c r="M14" s="91">
        <v>81.010000000000005</v>
      </c>
      <c r="N14" s="22">
        <v>3103</v>
      </c>
      <c r="O14" s="91">
        <v>69.75</v>
      </c>
      <c r="P14" s="22">
        <v>3055</v>
      </c>
      <c r="Q14" s="91">
        <v>72.209999999999994</v>
      </c>
    </row>
    <row r="15" spans="1:17" s="108" customFormat="1" ht="12" customHeight="1" x14ac:dyDescent="0.4">
      <c r="A15" s="24" t="s">
        <v>21</v>
      </c>
      <c r="B15" s="26">
        <v>2069</v>
      </c>
      <c r="C15" s="94">
        <v>3.35</v>
      </c>
      <c r="D15" s="26">
        <v>3919</v>
      </c>
      <c r="E15" s="94">
        <v>41.43</v>
      </c>
      <c r="F15" s="26">
        <v>1597</v>
      </c>
      <c r="G15" s="94">
        <v>11.37</v>
      </c>
      <c r="H15" s="27">
        <v>2518</v>
      </c>
      <c r="I15" s="39">
        <v>2.15</v>
      </c>
      <c r="J15" s="26">
        <v>2970</v>
      </c>
      <c r="K15" s="94">
        <v>15.74</v>
      </c>
      <c r="L15" s="26">
        <v>1677</v>
      </c>
      <c r="M15" s="94">
        <v>11.5</v>
      </c>
      <c r="N15" s="26">
        <v>1888</v>
      </c>
      <c r="O15" s="94">
        <v>1.29</v>
      </c>
      <c r="P15" s="27">
        <v>2307</v>
      </c>
      <c r="Q15" s="93">
        <v>10.44</v>
      </c>
    </row>
    <row r="16" spans="1:17" s="108" customFormat="1" ht="12" customHeight="1" x14ac:dyDescent="0.4">
      <c r="A16" s="21" t="s">
        <v>22</v>
      </c>
      <c r="B16" s="28" t="s">
        <v>91</v>
      </c>
      <c r="C16" s="123" t="s">
        <v>92</v>
      </c>
      <c r="D16" s="22">
        <v>1725</v>
      </c>
      <c r="E16" s="91">
        <v>43.15</v>
      </c>
      <c r="F16" s="22">
        <v>1076</v>
      </c>
      <c r="G16" s="91">
        <v>-16.72</v>
      </c>
      <c r="H16" s="22">
        <v>619</v>
      </c>
      <c r="I16" s="91">
        <v>-53.03</v>
      </c>
      <c r="J16" s="22">
        <v>1237</v>
      </c>
      <c r="K16" s="91">
        <v>9.9600000000000009</v>
      </c>
      <c r="L16" s="22">
        <v>1379</v>
      </c>
      <c r="M16" s="91">
        <v>-7.64</v>
      </c>
      <c r="N16" s="22">
        <v>1500</v>
      </c>
      <c r="O16" s="91">
        <v>-2.34</v>
      </c>
      <c r="P16" s="28" t="s">
        <v>91</v>
      </c>
      <c r="Q16" s="123" t="s">
        <v>92</v>
      </c>
    </row>
    <row r="17" spans="1:17" s="108" customFormat="1" ht="12" customHeight="1" x14ac:dyDescent="0.4">
      <c r="A17" s="24" t="s">
        <v>23</v>
      </c>
      <c r="B17" s="26">
        <v>3217</v>
      </c>
      <c r="C17" s="94">
        <v>-1.26</v>
      </c>
      <c r="D17" s="26">
        <v>2530</v>
      </c>
      <c r="E17" s="94">
        <v>-12.82</v>
      </c>
      <c r="F17" s="26">
        <v>2318</v>
      </c>
      <c r="G17" s="94">
        <v>-20.67</v>
      </c>
      <c r="H17" s="27">
        <v>2891</v>
      </c>
      <c r="I17" s="93">
        <v>-2.36</v>
      </c>
      <c r="J17" s="26">
        <v>4409</v>
      </c>
      <c r="K17" s="94">
        <v>71.959999999999994</v>
      </c>
      <c r="L17" s="26">
        <v>2917</v>
      </c>
      <c r="M17" s="94">
        <v>-17.41</v>
      </c>
      <c r="N17" s="26">
        <v>1849</v>
      </c>
      <c r="O17" s="94">
        <v>4.2300000000000004</v>
      </c>
      <c r="P17" s="27">
        <v>3312</v>
      </c>
      <c r="Q17" s="93">
        <v>39.340000000000003</v>
      </c>
    </row>
    <row r="18" spans="1:17" s="108" customFormat="1" ht="12" customHeight="1" x14ac:dyDescent="0.4">
      <c r="A18" s="21" t="s">
        <v>24</v>
      </c>
      <c r="B18" s="112">
        <v>1931</v>
      </c>
      <c r="C18" s="113">
        <v>-1.38</v>
      </c>
      <c r="D18" s="22">
        <v>1833</v>
      </c>
      <c r="E18" s="91">
        <v>3.56</v>
      </c>
      <c r="F18" s="22">
        <v>1700</v>
      </c>
      <c r="G18" s="91">
        <v>19.97</v>
      </c>
      <c r="H18" s="22">
        <v>1978</v>
      </c>
      <c r="I18" s="91">
        <v>9.58</v>
      </c>
      <c r="J18" s="112">
        <v>1358</v>
      </c>
      <c r="K18" s="113">
        <v>21.47</v>
      </c>
      <c r="L18" s="22">
        <v>1540</v>
      </c>
      <c r="M18" s="91">
        <v>-8.5</v>
      </c>
      <c r="N18" s="22">
        <v>900</v>
      </c>
      <c r="O18" s="91">
        <v>-0.77</v>
      </c>
      <c r="P18" s="22">
        <v>1989</v>
      </c>
      <c r="Q18" s="91">
        <v>14.11</v>
      </c>
    </row>
    <row r="19" spans="1:17" s="108" customFormat="1" ht="12" customHeight="1" x14ac:dyDescent="0.4">
      <c r="A19" s="24" t="s">
        <v>25</v>
      </c>
      <c r="B19" s="26">
        <v>1679</v>
      </c>
      <c r="C19" s="94">
        <v>33.25</v>
      </c>
      <c r="D19" s="26">
        <v>2716</v>
      </c>
      <c r="E19" s="94">
        <v>20.98</v>
      </c>
      <c r="F19" s="26">
        <v>1536</v>
      </c>
      <c r="G19" s="94">
        <v>64.28</v>
      </c>
      <c r="H19" s="27">
        <v>1755</v>
      </c>
      <c r="I19" s="93">
        <v>26.71</v>
      </c>
      <c r="J19" s="26">
        <v>1700</v>
      </c>
      <c r="K19" s="94">
        <v>41.9</v>
      </c>
      <c r="L19" s="26">
        <v>1804</v>
      </c>
      <c r="M19" s="94">
        <v>39.090000000000003</v>
      </c>
      <c r="N19" s="26">
        <v>1835</v>
      </c>
      <c r="O19" s="94">
        <v>39.65</v>
      </c>
      <c r="P19" s="27">
        <v>2030</v>
      </c>
      <c r="Q19" s="93">
        <v>14.62</v>
      </c>
    </row>
    <row r="20" spans="1:17" s="108" customFormat="1" ht="12" customHeight="1" x14ac:dyDescent="0.4">
      <c r="A20" s="21" t="s">
        <v>26</v>
      </c>
      <c r="B20" s="22">
        <v>1904</v>
      </c>
      <c r="C20" s="91">
        <v>-8.51</v>
      </c>
      <c r="D20" s="22">
        <v>1867</v>
      </c>
      <c r="E20" s="91">
        <v>-33.11</v>
      </c>
      <c r="F20" s="22">
        <v>2158</v>
      </c>
      <c r="G20" s="91">
        <v>-15.51</v>
      </c>
      <c r="H20" s="22">
        <v>1843</v>
      </c>
      <c r="I20" s="91">
        <v>-23.18</v>
      </c>
      <c r="J20" s="22">
        <v>1425</v>
      </c>
      <c r="K20" s="91">
        <v>-12.9</v>
      </c>
      <c r="L20" s="22">
        <v>1782</v>
      </c>
      <c r="M20" s="91">
        <v>-17.23</v>
      </c>
      <c r="N20" s="22">
        <v>1186</v>
      </c>
      <c r="O20" s="91">
        <v>-7.56</v>
      </c>
      <c r="P20" s="22">
        <v>1953</v>
      </c>
      <c r="Q20" s="91">
        <v>-23.17</v>
      </c>
    </row>
    <row r="21" spans="1:17" s="108" customFormat="1" ht="12" customHeight="1" x14ac:dyDescent="0.4">
      <c r="A21" s="24" t="s">
        <v>27</v>
      </c>
      <c r="B21" s="26">
        <v>1337</v>
      </c>
      <c r="C21" s="94">
        <v>-1.91</v>
      </c>
      <c r="D21" s="26">
        <v>654</v>
      </c>
      <c r="E21" s="94">
        <v>-6.03</v>
      </c>
      <c r="F21" s="26">
        <v>1312</v>
      </c>
      <c r="G21" s="94">
        <v>-19.309999999999999</v>
      </c>
      <c r="H21" s="27">
        <v>1165</v>
      </c>
      <c r="I21" s="93">
        <v>-6.8</v>
      </c>
      <c r="J21" s="26">
        <v>1080</v>
      </c>
      <c r="K21" s="94">
        <v>-1.64</v>
      </c>
      <c r="L21" s="26">
        <v>793</v>
      </c>
      <c r="M21" s="94">
        <v>-14.82</v>
      </c>
      <c r="N21" s="26">
        <v>675</v>
      </c>
      <c r="O21" s="94">
        <v>15.98</v>
      </c>
      <c r="P21" s="27">
        <v>1206</v>
      </c>
      <c r="Q21" s="93">
        <v>-15.01</v>
      </c>
    </row>
    <row r="22" spans="1:17" s="108" customFormat="1" ht="12" customHeight="1" x14ac:dyDescent="0.4">
      <c r="A22" s="21" t="s">
        <v>28</v>
      </c>
      <c r="B22" s="22">
        <v>3585</v>
      </c>
      <c r="C22" s="91">
        <v>42.09</v>
      </c>
      <c r="D22" s="22">
        <v>3643</v>
      </c>
      <c r="E22" s="91">
        <v>38.200000000000003</v>
      </c>
      <c r="F22" s="22">
        <v>3455</v>
      </c>
      <c r="G22" s="91">
        <v>40.56</v>
      </c>
      <c r="H22" s="28" t="s">
        <v>91</v>
      </c>
      <c r="I22" s="123" t="s">
        <v>92</v>
      </c>
      <c r="J22" s="22">
        <v>3856</v>
      </c>
      <c r="K22" s="91">
        <v>23.08</v>
      </c>
      <c r="L22" s="22">
        <v>3778</v>
      </c>
      <c r="M22" s="91">
        <v>50.7</v>
      </c>
      <c r="N22" s="22">
        <v>3401</v>
      </c>
      <c r="O22" s="91">
        <v>49.17</v>
      </c>
      <c r="P22" s="23">
        <v>3423</v>
      </c>
      <c r="Q22" s="92">
        <v>14.56</v>
      </c>
    </row>
    <row r="23" spans="1:17" s="108" customFormat="1" ht="12" customHeight="1" x14ac:dyDescent="0.4">
      <c r="A23" s="32" t="s">
        <v>29</v>
      </c>
      <c r="B23" s="103">
        <v>1592</v>
      </c>
      <c r="C23" s="117">
        <v>-14.5</v>
      </c>
      <c r="D23" s="33">
        <v>1681</v>
      </c>
      <c r="E23" s="95">
        <v>-11.67</v>
      </c>
      <c r="F23" s="33">
        <v>1374</v>
      </c>
      <c r="G23" s="95">
        <v>-21.49</v>
      </c>
      <c r="H23" s="33">
        <v>1536</v>
      </c>
      <c r="I23" s="95">
        <v>-15.74</v>
      </c>
      <c r="J23" s="33">
        <v>1605</v>
      </c>
      <c r="K23" s="95">
        <v>-17.399999999999999</v>
      </c>
      <c r="L23" s="33">
        <v>1019</v>
      </c>
      <c r="M23" s="95">
        <v>-4.41</v>
      </c>
      <c r="N23" s="33">
        <v>389</v>
      </c>
      <c r="O23" s="95">
        <v>-8.9</v>
      </c>
      <c r="P23" s="33">
        <v>1491</v>
      </c>
      <c r="Q23" s="95">
        <v>-24.81</v>
      </c>
    </row>
    <row r="24" spans="1:17" s="108" customFormat="1" ht="12" customHeight="1" x14ac:dyDescent="0.4">
      <c r="A24" s="131" t="s">
        <v>30</v>
      </c>
      <c r="B24" s="132"/>
      <c r="C24" s="133"/>
      <c r="D24" s="132"/>
      <c r="E24" s="133"/>
      <c r="F24" s="132"/>
      <c r="G24" s="133"/>
      <c r="H24" s="132"/>
      <c r="I24" s="133"/>
      <c r="J24" s="132"/>
      <c r="K24" s="133"/>
      <c r="L24" s="132"/>
      <c r="M24" s="133"/>
      <c r="N24" s="132"/>
      <c r="O24" s="133"/>
      <c r="P24" s="132"/>
      <c r="Q24" s="133"/>
    </row>
    <row r="25" spans="1:17" s="108" customFormat="1" ht="12" customHeight="1" x14ac:dyDescent="0.4">
      <c r="A25" s="24" t="s">
        <v>49</v>
      </c>
      <c r="B25" s="118" t="s">
        <v>91</v>
      </c>
      <c r="C25" s="124" t="s">
        <v>92</v>
      </c>
      <c r="D25" s="26">
        <v>6074</v>
      </c>
      <c r="E25" s="94">
        <v>2.77</v>
      </c>
      <c r="F25" s="26">
        <v>5507</v>
      </c>
      <c r="G25" s="31">
        <v>-0.86</v>
      </c>
      <c r="H25" s="30">
        <v>6201</v>
      </c>
      <c r="I25" s="124">
        <v>4.41</v>
      </c>
      <c r="J25" s="29">
        <v>5091</v>
      </c>
      <c r="K25" s="93">
        <v>7.18</v>
      </c>
      <c r="L25" s="26" t="s">
        <v>91</v>
      </c>
      <c r="M25" s="39" t="s">
        <v>92</v>
      </c>
      <c r="N25" s="26">
        <v>4581</v>
      </c>
      <c r="O25" s="94">
        <v>16.48</v>
      </c>
      <c r="P25" s="27">
        <v>4780</v>
      </c>
      <c r="Q25" s="93">
        <v>3.96</v>
      </c>
    </row>
    <row r="26" spans="1:17" s="108" customFormat="1" ht="12" customHeight="1" x14ac:dyDescent="0.4">
      <c r="A26" s="21" t="s">
        <v>31</v>
      </c>
      <c r="B26" s="22">
        <v>1680</v>
      </c>
      <c r="C26" s="91">
        <v>-2.33</v>
      </c>
      <c r="D26" s="22">
        <v>2196</v>
      </c>
      <c r="E26" s="91">
        <v>0</v>
      </c>
      <c r="F26" s="22">
        <v>1962</v>
      </c>
      <c r="G26" s="91">
        <v>14.2</v>
      </c>
      <c r="H26" s="28" t="s">
        <v>91</v>
      </c>
      <c r="I26" s="123" t="s">
        <v>92</v>
      </c>
      <c r="J26" s="22">
        <v>1656</v>
      </c>
      <c r="K26" s="91">
        <v>0.24</v>
      </c>
      <c r="L26" s="22">
        <v>2109</v>
      </c>
      <c r="M26" s="91">
        <v>-0.85</v>
      </c>
      <c r="N26" s="22">
        <v>1721</v>
      </c>
      <c r="O26" s="91">
        <v>-0.12</v>
      </c>
      <c r="P26" s="23">
        <v>1437</v>
      </c>
      <c r="Q26" s="92">
        <v>-4.45</v>
      </c>
    </row>
    <row r="27" spans="1:17" s="108" customFormat="1" ht="12" customHeight="1" x14ac:dyDescent="0.4">
      <c r="A27" s="24" t="s">
        <v>32</v>
      </c>
      <c r="B27" s="26">
        <v>4287</v>
      </c>
      <c r="C27" s="94">
        <v>13.11</v>
      </c>
      <c r="D27" s="26">
        <v>6369</v>
      </c>
      <c r="E27" s="94">
        <v>10.63</v>
      </c>
      <c r="F27" s="30" t="s">
        <v>91</v>
      </c>
      <c r="G27" s="124" t="s">
        <v>92</v>
      </c>
      <c r="H27" s="26">
        <v>5240</v>
      </c>
      <c r="I27" s="94">
        <v>9.5299999999999994</v>
      </c>
      <c r="J27" s="26">
        <v>4237</v>
      </c>
      <c r="K27" s="94">
        <v>9.68</v>
      </c>
      <c r="L27" s="30" t="s">
        <v>91</v>
      </c>
      <c r="M27" s="124" t="s">
        <v>92</v>
      </c>
      <c r="N27" s="27">
        <v>8403</v>
      </c>
      <c r="O27" s="94">
        <v>13.54</v>
      </c>
      <c r="P27" s="26">
        <v>4740</v>
      </c>
      <c r="Q27" s="94">
        <v>10.210000000000001</v>
      </c>
    </row>
    <row r="28" spans="1:17" s="108" customFormat="1" ht="12" customHeight="1" x14ac:dyDescent="0.4">
      <c r="A28" s="21" t="s">
        <v>33</v>
      </c>
      <c r="B28" s="28" t="s">
        <v>91</v>
      </c>
      <c r="C28" s="123" t="s">
        <v>92</v>
      </c>
      <c r="D28" s="22">
        <v>6301</v>
      </c>
      <c r="E28" s="91">
        <v>-30.99</v>
      </c>
      <c r="F28" s="22">
        <v>7236</v>
      </c>
      <c r="G28" s="91">
        <v>-30.27</v>
      </c>
      <c r="H28" s="28" t="s">
        <v>91</v>
      </c>
      <c r="I28" s="123" t="s">
        <v>92</v>
      </c>
      <c r="J28" s="23">
        <v>7414</v>
      </c>
      <c r="K28" s="90">
        <v>-11.29</v>
      </c>
      <c r="L28" s="23">
        <v>8069</v>
      </c>
      <c r="M28" s="92">
        <v>15.68</v>
      </c>
      <c r="N28" s="22">
        <v>5419</v>
      </c>
      <c r="O28" s="91">
        <v>-29.59</v>
      </c>
      <c r="P28" s="23">
        <v>5646</v>
      </c>
      <c r="Q28" s="92">
        <v>-22.42</v>
      </c>
    </row>
    <row r="29" spans="1:17" s="108" customFormat="1" ht="12" customHeight="1" x14ac:dyDescent="0.4">
      <c r="A29" s="24" t="s">
        <v>34</v>
      </c>
      <c r="B29" s="26">
        <v>3923</v>
      </c>
      <c r="C29" s="94">
        <v>4.95</v>
      </c>
      <c r="D29" s="26">
        <v>1440</v>
      </c>
      <c r="E29" s="94">
        <v>-39.42</v>
      </c>
      <c r="F29" s="26">
        <v>1937</v>
      </c>
      <c r="G29" s="94">
        <v>-12.35</v>
      </c>
      <c r="H29" s="26">
        <v>3398</v>
      </c>
      <c r="I29" s="94">
        <v>-0.35</v>
      </c>
      <c r="J29" s="26">
        <v>2088</v>
      </c>
      <c r="K29" s="94">
        <v>-13.58</v>
      </c>
      <c r="L29" s="26">
        <v>3045</v>
      </c>
      <c r="M29" s="94">
        <v>-0.88</v>
      </c>
      <c r="N29" s="26">
        <v>2700</v>
      </c>
      <c r="O29" s="94">
        <v>-2.98</v>
      </c>
      <c r="P29" s="26">
        <v>2417</v>
      </c>
      <c r="Q29" s="94">
        <v>0.37</v>
      </c>
    </row>
    <row r="30" spans="1:17" s="108" customFormat="1" ht="12" customHeight="1" x14ac:dyDescent="0.4">
      <c r="A30" s="21" t="s">
        <v>58</v>
      </c>
      <c r="B30" s="22">
        <v>1837</v>
      </c>
      <c r="C30" s="91">
        <v>62.42</v>
      </c>
      <c r="D30" s="22">
        <v>3158</v>
      </c>
      <c r="E30" s="91">
        <v>93.39</v>
      </c>
      <c r="F30" s="22">
        <v>1312</v>
      </c>
      <c r="G30" s="91">
        <v>34.979999999999997</v>
      </c>
      <c r="H30" s="23">
        <v>2220</v>
      </c>
      <c r="I30" s="92">
        <v>55.57</v>
      </c>
      <c r="J30" s="22">
        <v>2185</v>
      </c>
      <c r="K30" s="92">
        <v>84.54</v>
      </c>
      <c r="L30" s="22">
        <v>1501</v>
      </c>
      <c r="M30" s="91">
        <v>31.09</v>
      </c>
      <c r="N30" s="22">
        <v>2274</v>
      </c>
      <c r="O30" s="91">
        <v>117.4</v>
      </c>
      <c r="P30" s="23">
        <v>1920</v>
      </c>
      <c r="Q30" s="92">
        <v>79.94</v>
      </c>
    </row>
    <row r="31" spans="1:17" s="108" customFormat="1" ht="12" customHeight="1" x14ac:dyDescent="0.4">
      <c r="A31" s="24" t="s">
        <v>35</v>
      </c>
      <c r="B31" s="27">
        <v>4714</v>
      </c>
      <c r="C31" s="93">
        <v>-18.510000000000002</v>
      </c>
      <c r="D31" s="26">
        <v>3328</v>
      </c>
      <c r="E31" s="94">
        <v>-24.81</v>
      </c>
      <c r="F31" s="26">
        <v>3468</v>
      </c>
      <c r="G31" s="94">
        <v>-24.9</v>
      </c>
      <c r="H31" s="27">
        <v>4717</v>
      </c>
      <c r="I31" s="93">
        <v>-13.97</v>
      </c>
      <c r="J31" s="27">
        <v>3234</v>
      </c>
      <c r="K31" s="93">
        <v>-15.93</v>
      </c>
      <c r="L31" s="26">
        <v>4845</v>
      </c>
      <c r="M31" s="94">
        <v>-11.08</v>
      </c>
      <c r="N31" s="26">
        <v>3016</v>
      </c>
      <c r="O31" s="94">
        <v>-29.17</v>
      </c>
      <c r="P31" s="27">
        <v>3753</v>
      </c>
      <c r="Q31" s="93">
        <v>-12.76</v>
      </c>
    </row>
    <row r="32" spans="1:17" s="108" customFormat="1" ht="12" customHeight="1" x14ac:dyDescent="0.4">
      <c r="A32" s="21" t="s">
        <v>36</v>
      </c>
      <c r="B32" s="22">
        <v>4224</v>
      </c>
      <c r="C32" s="91">
        <v>-16.88</v>
      </c>
      <c r="D32" s="22">
        <v>5950</v>
      </c>
      <c r="E32" s="91">
        <v>6.48</v>
      </c>
      <c r="F32" s="22">
        <v>3375</v>
      </c>
      <c r="G32" s="91">
        <v>-24.95</v>
      </c>
      <c r="H32" s="23">
        <v>3295</v>
      </c>
      <c r="I32" s="123" t="s">
        <v>92</v>
      </c>
      <c r="J32" s="22">
        <v>3368</v>
      </c>
      <c r="K32" s="91">
        <v>-3.52</v>
      </c>
      <c r="L32" s="22">
        <v>4605</v>
      </c>
      <c r="M32" s="91">
        <v>-11.71</v>
      </c>
      <c r="N32" s="22">
        <v>4122</v>
      </c>
      <c r="O32" s="91">
        <v>-22.62</v>
      </c>
      <c r="P32" s="23">
        <v>3678</v>
      </c>
      <c r="Q32" s="92">
        <v>-20.48</v>
      </c>
    </row>
    <row r="33" spans="1:17" s="108" customFormat="1" ht="12" customHeight="1" x14ac:dyDescent="0.4">
      <c r="A33" s="24" t="s">
        <v>37</v>
      </c>
      <c r="B33" s="26">
        <v>6135</v>
      </c>
      <c r="C33" s="94">
        <v>93.47</v>
      </c>
      <c r="D33" s="26">
        <v>8465</v>
      </c>
      <c r="E33" s="109">
        <v>21.22</v>
      </c>
      <c r="F33" s="26">
        <v>9176</v>
      </c>
      <c r="G33" s="93">
        <v>42.91</v>
      </c>
      <c r="H33" s="30" t="s">
        <v>91</v>
      </c>
      <c r="I33" s="124" t="s">
        <v>92</v>
      </c>
      <c r="J33" s="26">
        <v>9150</v>
      </c>
      <c r="K33" s="94">
        <v>41.27</v>
      </c>
      <c r="L33" s="26">
        <v>6320</v>
      </c>
      <c r="M33" s="94">
        <v>59.15</v>
      </c>
      <c r="N33" s="26">
        <v>8639</v>
      </c>
      <c r="O33" s="93">
        <v>40.29</v>
      </c>
      <c r="P33" s="27">
        <v>8557</v>
      </c>
      <c r="Q33" s="94">
        <v>38.28</v>
      </c>
    </row>
    <row r="34" spans="1:17" s="108" customFormat="1" ht="12" customHeight="1" x14ac:dyDescent="0.4">
      <c r="A34" s="21" t="s">
        <v>53</v>
      </c>
      <c r="B34" s="81" t="s">
        <v>91</v>
      </c>
      <c r="C34" s="123" t="s">
        <v>92</v>
      </c>
      <c r="D34" s="22">
        <v>12361</v>
      </c>
      <c r="E34" s="91">
        <v>15.15</v>
      </c>
      <c r="F34" s="22">
        <v>12429</v>
      </c>
      <c r="G34" s="91">
        <v>15.83</v>
      </c>
      <c r="H34" s="23">
        <v>10652</v>
      </c>
      <c r="I34" s="90">
        <v>16.559999999999999</v>
      </c>
      <c r="J34" s="23">
        <v>12032</v>
      </c>
      <c r="K34" s="92">
        <v>23.71</v>
      </c>
      <c r="L34" s="22">
        <v>11685</v>
      </c>
      <c r="M34" s="91">
        <v>17.54</v>
      </c>
      <c r="N34" s="22">
        <v>12084</v>
      </c>
      <c r="O34" s="91">
        <v>12.17</v>
      </c>
      <c r="P34" s="23">
        <v>11833</v>
      </c>
      <c r="Q34" s="92">
        <v>29.71</v>
      </c>
    </row>
    <row r="35" spans="1:17" s="108" customFormat="1" ht="12" customHeight="1" x14ac:dyDescent="0.4">
      <c r="A35" s="24" t="s">
        <v>38</v>
      </c>
      <c r="B35" s="27">
        <v>3506</v>
      </c>
      <c r="C35" s="39">
        <v>-21.79</v>
      </c>
      <c r="D35" s="26">
        <v>3174</v>
      </c>
      <c r="E35" s="94">
        <v>-23.78</v>
      </c>
      <c r="F35" s="26">
        <v>2938</v>
      </c>
      <c r="G35" s="94">
        <v>-20.81</v>
      </c>
      <c r="H35" s="30" t="s">
        <v>91</v>
      </c>
      <c r="I35" s="124" t="s">
        <v>92</v>
      </c>
      <c r="J35" s="26">
        <v>3514</v>
      </c>
      <c r="K35" s="94">
        <v>-21.61</v>
      </c>
      <c r="L35" s="26">
        <v>3449</v>
      </c>
      <c r="M35" s="94">
        <v>-31.09</v>
      </c>
      <c r="N35" s="26">
        <v>2658</v>
      </c>
      <c r="O35" s="94">
        <v>-15.91</v>
      </c>
      <c r="P35" s="27">
        <v>3603</v>
      </c>
      <c r="Q35" s="94">
        <v>-24.21</v>
      </c>
    </row>
    <row r="36" spans="1:17" s="108" customFormat="1" ht="12" customHeight="1" x14ac:dyDescent="0.4">
      <c r="A36" s="21" t="s">
        <v>39</v>
      </c>
      <c r="B36" s="22">
        <v>5117</v>
      </c>
      <c r="C36" s="91">
        <v>1.53</v>
      </c>
      <c r="D36" s="22">
        <v>4058</v>
      </c>
      <c r="E36" s="91">
        <v>14.12</v>
      </c>
      <c r="F36" s="22">
        <v>3567</v>
      </c>
      <c r="G36" s="91">
        <v>1.05</v>
      </c>
      <c r="H36" s="23">
        <v>4208</v>
      </c>
      <c r="I36" s="92">
        <v>-0.94</v>
      </c>
      <c r="J36" s="22">
        <v>3816</v>
      </c>
      <c r="K36" s="91">
        <v>3.02</v>
      </c>
      <c r="L36" s="22">
        <v>3461</v>
      </c>
      <c r="M36" s="91">
        <v>-1.1399999999999999</v>
      </c>
      <c r="N36" s="22">
        <v>3008</v>
      </c>
      <c r="O36" s="91">
        <v>22.78</v>
      </c>
      <c r="P36" s="23">
        <v>4335</v>
      </c>
      <c r="Q36" s="92">
        <v>17.54</v>
      </c>
    </row>
    <row r="37" spans="1:17" s="108" customFormat="1" ht="12" customHeight="1" x14ac:dyDescent="0.4">
      <c r="A37" s="24" t="s">
        <v>40</v>
      </c>
      <c r="B37" s="25" t="s">
        <v>91</v>
      </c>
      <c r="C37" s="124" t="s">
        <v>92</v>
      </c>
      <c r="D37" s="26">
        <v>2044</v>
      </c>
      <c r="E37" s="94">
        <v>-20.96</v>
      </c>
      <c r="F37" s="26">
        <v>983</v>
      </c>
      <c r="G37" s="93">
        <v>-30.97</v>
      </c>
      <c r="H37" s="27">
        <v>1784</v>
      </c>
      <c r="I37" s="93">
        <v>-20.18</v>
      </c>
      <c r="J37" s="30" t="s">
        <v>91</v>
      </c>
      <c r="K37" s="124" t="s">
        <v>92</v>
      </c>
      <c r="L37" s="30" t="s">
        <v>91</v>
      </c>
      <c r="M37" s="124" t="s">
        <v>92</v>
      </c>
      <c r="N37" s="26">
        <v>2297</v>
      </c>
      <c r="O37" s="93">
        <v>-22.84</v>
      </c>
      <c r="P37" s="26">
        <v>1640</v>
      </c>
      <c r="Q37" s="96">
        <v>-21.49</v>
      </c>
    </row>
    <row r="38" spans="1:17" s="108" customFormat="1" ht="12" customHeight="1" x14ac:dyDescent="0.4">
      <c r="A38" s="21" t="s">
        <v>59</v>
      </c>
      <c r="B38" s="28" t="s">
        <v>91</v>
      </c>
      <c r="C38" s="123" t="s">
        <v>92</v>
      </c>
      <c r="D38" s="23">
        <v>1603</v>
      </c>
      <c r="E38" s="92">
        <v>-38.79</v>
      </c>
      <c r="F38" s="22">
        <v>1938</v>
      </c>
      <c r="G38" s="91">
        <v>-32.47</v>
      </c>
      <c r="H38" s="23">
        <v>2777</v>
      </c>
      <c r="I38" s="92">
        <v>-2.4900000000000002</v>
      </c>
      <c r="J38" s="23">
        <v>2450</v>
      </c>
      <c r="K38" s="91">
        <v>1.83</v>
      </c>
      <c r="L38" s="23">
        <v>3043</v>
      </c>
      <c r="M38" s="92">
        <v>-1.65</v>
      </c>
      <c r="N38" s="22">
        <v>3248</v>
      </c>
      <c r="O38" s="91">
        <v>3.87</v>
      </c>
      <c r="P38" s="23">
        <v>2550</v>
      </c>
      <c r="Q38" s="92">
        <v>3.03</v>
      </c>
    </row>
    <row r="39" spans="1:17" s="108" customFormat="1" ht="12" customHeight="1" x14ac:dyDescent="0.4">
      <c r="A39" s="24" t="s">
        <v>41</v>
      </c>
      <c r="B39" s="27">
        <v>3064</v>
      </c>
      <c r="C39" s="39">
        <v>20.02</v>
      </c>
      <c r="D39" s="27">
        <v>3730</v>
      </c>
      <c r="E39" s="93">
        <v>33.07</v>
      </c>
      <c r="F39" s="26">
        <v>3715</v>
      </c>
      <c r="G39" s="94">
        <v>52.44</v>
      </c>
      <c r="H39" s="27">
        <v>3790</v>
      </c>
      <c r="I39" s="93">
        <v>53.19</v>
      </c>
      <c r="J39" s="27">
        <v>2270</v>
      </c>
      <c r="K39" s="94">
        <v>21.13</v>
      </c>
      <c r="L39" s="27">
        <v>2387</v>
      </c>
      <c r="M39" s="93">
        <v>14.1</v>
      </c>
      <c r="N39" s="26">
        <v>3909</v>
      </c>
      <c r="O39" s="94">
        <v>21.25</v>
      </c>
      <c r="P39" s="27">
        <v>4487</v>
      </c>
      <c r="Q39" s="93">
        <v>34.869999999999997</v>
      </c>
    </row>
    <row r="40" spans="1:17" s="108" customFormat="1" ht="12" customHeight="1" x14ac:dyDescent="0.4">
      <c r="A40" s="21" t="s">
        <v>42</v>
      </c>
      <c r="B40" s="22">
        <v>3073</v>
      </c>
      <c r="C40" s="91">
        <v>-33.590000000000003</v>
      </c>
      <c r="D40" s="22">
        <v>3013</v>
      </c>
      <c r="E40" s="91">
        <v>-26.76</v>
      </c>
      <c r="F40" s="22">
        <v>2854</v>
      </c>
      <c r="G40" s="91">
        <v>-35.5</v>
      </c>
      <c r="H40" s="23">
        <v>2988</v>
      </c>
      <c r="I40" s="113">
        <v>-37.79</v>
      </c>
      <c r="J40" s="22">
        <v>2447</v>
      </c>
      <c r="K40" s="91">
        <v>-42.96</v>
      </c>
      <c r="L40" s="22">
        <v>4644</v>
      </c>
      <c r="M40" s="91">
        <v>2.2000000000000002</v>
      </c>
      <c r="N40" s="22">
        <v>2407</v>
      </c>
      <c r="O40" s="91">
        <v>-40.18</v>
      </c>
      <c r="P40" s="23">
        <v>3200</v>
      </c>
      <c r="Q40" s="113">
        <v>-24.71</v>
      </c>
    </row>
    <row r="41" spans="1:17" s="108" customFormat="1" ht="12" customHeight="1" x14ac:dyDescent="0.4">
      <c r="A41" s="32" t="s">
        <v>60</v>
      </c>
      <c r="B41" s="33" t="s">
        <v>91</v>
      </c>
      <c r="C41" s="125" t="s">
        <v>92</v>
      </c>
      <c r="D41" s="33">
        <v>9357</v>
      </c>
      <c r="E41" s="95">
        <v>-9.23</v>
      </c>
      <c r="F41" s="33">
        <v>9874</v>
      </c>
      <c r="G41" s="95">
        <v>-7.3</v>
      </c>
      <c r="H41" s="103">
        <v>10631</v>
      </c>
      <c r="I41" s="117">
        <v>-4.8600000000000003</v>
      </c>
      <c r="J41" s="33">
        <v>10389</v>
      </c>
      <c r="K41" s="95">
        <v>9.11</v>
      </c>
      <c r="L41" s="33" t="s">
        <v>91</v>
      </c>
      <c r="M41" s="125" t="s">
        <v>92</v>
      </c>
      <c r="N41" s="33">
        <v>8834</v>
      </c>
      <c r="O41" s="95">
        <v>-17.260000000000002</v>
      </c>
      <c r="P41" s="103">
        <v>9644</v>
      </c>
      <c r="Q41" s="117">
        <v>-9.94</v>
      </c>
    </row>
    <row r="42" spans="1:17" s="108" customFormat="1" ht="12" customHeight="1" x14ac:dyDescent="0.4">
      <c r="A42" s="131" t="s">
        <v>43</v>
      </c>
      <c r="B42" s="132"/>
      <c r="C42" s="133"/>
      <c r="D42" s="132"/>
      <c r="E42" s="133"/>
      <c r="F42" s="132"/>
      <c r="G42" s="133"/>
      <c r="H42" s="132"/>
      <c r="I42" s="133"/>
      <c r="J42" s="132"/>
      <c r="K42" s="133"/>
      <c r="L42" s="132"/>
      <c r="M42" s="133"/>
      <c r="N42" s="132"/>
      <c r="O42" s="133"/>
      <c r="P42" s="132"/>
      <c r="Q42" s="133"/>
    </row>
    <row r="43" spans="1:17" s="108" customFormat="1" ht="12" customHeight="1" x14ac:dyDescent="0.4">
      <c r="A43" s="24" t="s">
        <v>44</v>
      </c>
      <c r="B43" s="30" t="s">
        <v>91</v>
      </c>
      <c r="C43" s="124" t="s">
        <v>92</v>
      </c>
      <c r="D43" s="26">
        <v>3230</v>
      </c>
      <c r="E43" s="94">
        <v>13.02</v>
      </c>
      <c r="F43" s="26">
        <v>3254</v>
      </c>
      <c r="G43" s="94">
        <v>-7.61</v>
      </c>
      <c r="H43" s="30" t="s">
        <v>91</v>
      </c>
      <c r="I43" s="124" t="s">
        <v>92</v>
      </c>
      <c r="J43" s="26">
        <v>3444</v>
      </c>
      <c r="K43" s="94">
        <v>13.48</v>
      </c>
      <c r="L43" s="26">
        <v>4400</v>
      </c>
      <c r="M43" s="94">
        <v>-9.67</v>
      </c>
      <c r="N43" s="26">
        <v>3783</v>
      </c>
      <c r="O43" s="94">
        <v>-14.66</v>
      </c>
      <c r="P43" s="27">
        <v>4083</v>
      </c>
      <c r="Q43" s="94">
        <v>-6.16</v>
      </c>
    </row>
    <row r="44" spans="1:17" s="108" customFormat="1" ht="12" customHeight="1" x14ac:dyDescent="0.4">
      <c r="A44" s="21" t="s">
        <v>45</v>
      </c>
      <c r="B44" s="22">
        <v>1313</v>
      </c>
      <c r="C44" s="91">
        <v>-14.01</v>
      </c>
      <c r="D44" s="22">
        <v>1543</v>
      </c>
      <c r="E44" s="91">
        <v>18.88</v>
      </c>
      <c r="F44" s="22">
        <v>1545</v>
      </c>
      <c r="G44" s="91">
        <v>26.43</v>
      </c>
      <c r="H44" s="23">
        <v>1424</v>
      </c>
      <c r="I44" s="92">
        <v>12.66</v>
      </c>
      <c r="J44" s="22">
        <v>1376</v>
      </c>
      <c r="K44" s="91">
        <v>30.06</v>
      </c>
      <c r="L44" s="23">
        <v>1048</v>
      </c>
      <c r="M44" s="90">
        <v>6.29</v>
      </c>
      <c r="N44" s="22">
        <v>1654</v>
      </c>
      <c r="O44" s="91">
        <v>16.399999999999999</v>
      </c>
      <c r="P44" s="23">
        <v>1384</v>
      </c>
      <c r="Q44" s="92">
        <v>7.87</v>
      </c>
    </row>
    <row r="45" spans="1:17" s="108" customFormat="1" ht="12" customHeight="1" x14ac:dyDescent="0.4">
      <c r="A45" s="24" t="s">
        <v>61</v>
      </c>
      <c r="B45" s="26">
        <v>4015</v>
      </c>
      <c r="C45" s="93">
        <v>13.48</v>
      </c>
      <c r="D45" s="26">
        <v>4401</v>
      </c>
      <c r="E45" s="94">
        <v>15.57</v>
      </c>
      <c r="F45" s="26">
        <v>2923</v>
      </c>
      <c r="G45" s="94">
        <v>3.4</v>
      </c>
      <c r="H45" s="26">
        <v>4559</v>
      </c>
      <c r="I45" s="94">
        <v>16.63</v>
      </c>
      <c r="J45" s="26">
        <v>3868</v>
      </c>
      <c r="K45" s="94">
        <v>32.92</v>
      </c>
      <c r="L45" s="26">
        <v>3026</v>
      </c>
      <c r="M45" s="94">
        <v>7.53</v>
      </c>
      <c r="N45" s="26">
        <v>3624</v>
      </c>
      <c r="O45" s="94">
        <v>7.66</v>
      </c>
      <c r="P45" s="26">
        <v>3782</v>
      </c>
      <c r="Q45" s="94">
        <v>21.88</v>
      </c>
    </row>
    <row r="46" spans="1:17" s="108" customFormat="1" ht="12" customHeight="1" x14ac:dyDescent="0.4">
      <c r="A46" s="21" t="s">
        <v>46</v>
      </c>
      <c r="B46" s="22">
        <v>3542</v>
      </c>
      <c r="C46" s="91">
        <v>-0.34</v>
      </c>
      <c r="D46" s="22">
        <v>2772</v>
      </c>
      <c r="E46" s="91">
        <v>-11.72</v>
      </c>
      <c r="F46" s="22">
        <v>2938</v>
      </c>
      <c r="G46" s="91">
        <v>-8.73</v>
      </c>
      <c r="H46" s="23">
        <v>3206</v>
      </c>
      <c r="I46" s="92">
        <v>-22.93</v>
      </c>
      <c r="J46" s="22">
        <v>2053</v>
      </c>
      <c r="K46" s="91">
        <v>-19.239999999999998</v>
      </c>
      <c r="L46" s="22">
        <v>2710</v>
      </c>
      <c r="M46" s="91">
        <v>-10.56</v>
      </c>
      <c r="N46" s="22">
        <v>2524</v>
      </c>
      <c r="O46" s="91">
        <v>-7.44</v>
      </c>
      <c r="P46" s="23">
        <v>1987</v>
      </c>
      <c r="Q46" s="92">
        <v>-20.52</v>
      </c>
    </row>
    <row r="47" spans="1:17" s="108" customFormat="1" ht="12" customHeight="1" x14ac:dyDescent="0.4">
      <c r="A47" s="32" t="s">
        <v>47</v>
      </c>
      <c r="B47" s="33">
        <v>1692</v>
      </c>
      <c r="C47" s="95">
        <v>-13.81</v>
      </c>
      <c r="D47" s="33">
        <v>2111</v>
      </c>
      <c r="E47" s="95">
        <v>-8.61</v>
      </c>
      <c r="F47" s="33">
        <v>2397</v>
      </c>
      <c r="G47" s="95">
        <v>3.45</v>
      </c>
      <c r="H47" s="33">
        <v>1620</v>
      </c>
      <c r="I47" s="95">
        <v>-9.75</v>
      </c>
      <c r="J47" s="33">
        <v>1526</v>
      </c>
      <c r="K47" s="95">
        <v>-5.8</v>
      </c>
      <c r="L47" s="33">
        <v>2524</v>
      </c>
      <c r="M47" s="95">
        <v>3.83</v>
      </c>
      <c r="N47" s="102" t="s">
        <v>91</v>
      </c>
      <c r="O47" s="125" t="s">
        <v>92</v>
      </c>
      <c r="P47" s="33">
        <v>1392</v>
      </c>
      <c r="Q47" s="95">
        <v>-10.65</v>
      </c>
    </row>
    <row r="48" spans="1:17" s="108" customFormat="1" ht="12" customHeight="1" x14ac:dyDescent="0.4">
      <c r="A48" s="131" t="s">
        <v>62</v>
      </c>
      <c r="B48" s="132"/>
      <c r="C48" s="133"/>
      <c r="D48" s="132"/>
      <c r="E48" s="133"/>
      <c r="F48" s="132"/>
      <c r="G48" s="133"/>
      <c r="H48" s="132"/>
      <c r="I48" s="133"/>
      <c r="J48" s="132"/>
      <c r="K48" s="133"/>
      <c r="L48" s="132"/>
      <c r="M48" s="133"/>
      <c r="N48" s="132"/>
      <c r="O48" s="133"/>
      <c r="P48" s="132"/>
      <c r="Q48" s="133"/>
    </row>
    <row r="49" spans="1:25" s="108" customFormat="1" ht="12" customHeight="1" x14ac:dyDescent="0.4">
      <c r="A49" s="15" t="s">
        <v>63</v>
      </c>
      <c r="B49" s="34">
        <v>4139</v>
      </c>
      <c r="C49" s="98">
        <v>0.41</v>
      </c>
      <c r="D49" s="34">
        <v>3745</v>
      </c>
      <c r="E49" s="98">
        <v>-2.37</v>
      </c>
      <c r="F49" s="34">
        <v>4192</v>
      </c>
      <c r="G49" s="98">
        <v>-3.23</v>
      </c>
      <c r="H49" s="34">
        <v>4016</v>
      </c>
      <c r="I49" s="98">
        <v>0.15</v>
      </c>
      <c r="J49" s="34">
        <v>3804</v>
      </c>
      <c r="K49" s="98">
        <v>-2.54</v>
      </c>
      <c r="L49" s="34">
        <v>4144</v>
      </c>
      <c r="M49" s="98">
        <v>2.17</v>
      </c>
      <c r="N49" s="34">
        <v>3969</v>
      </c>
      <c r="O49" s="98">
        <v>-0.85</v>
      </c>
      <c r="P49" s="34">
        <v>4062</v>
      </c>
      <c r="Q49" s="98">
        <v>-1.1200000000000001</v>
      </c>
    </row>
    <row r="50" spans="1:25" s="108" customFormat="1" ht="12" customHeight="1" x14ac:dyDescent="0.4">
      <c r="A50" s="35" t="s">
        <v>64</v>
      </c>
      <c r="B50" s="104" t="s">
        <v>91</v>
      </c>
      <c r="C50" s="126" t="s">
        <v>92</v>
      </c>
      <c r="D50" s="36">
        <v>5545</v>
      </c>
      <c r="E50" s="97">
        <v>0.09</v>
      </c>
      <c r="F50" s="36">
        <v>4260</v>
      </c>
      <c r="G50" s="97">
        <v>-4.4000000000000004</v>
      </c>
      <c r="H50" s="36">
        <v>4500</v>
      </c>
      <c r="I50" s="97">
        <v>-2.7</v>
      </c>
      <c r="J50" s="36">
        <v>4633</v>
      </c>
      <c r="K50" s="97">
        <v>-3.06</v>
      </c>
      <c r="L50" s="36">
        <v>4367</v>
      </c>
      <c r="M50" s="97">
        <v>1.56</v>
      </c>
      <c r="N50" s="36">
        <v>3826</v>
      </c>
      <c r="O50" s="97">
        <v>-5.55</v>
      </c>
      <c r="P50" s="36">
        <v>4062</v>
      </c>
      <c r="Q50" s="97">
        <v>-2.33</v>
      </c>
    </row>
    <row r="51" spans="1:25" s="108" customFormat="1" ht="12" customHeight="1" x14ac:dyDescent="0.4">
      <c r="A51" s="15" t="s">
        <v>65</v>
      </c>
      <c r="B51" s="34">
        <v>9547</v>
      </c>
      <c r="C51" s="98">
        <v>0.23</v>
      </c>
      <c r="D51" s="34">
        <v>9982</v>
      </c>
      <c r="E51" s="98">
        <v>-9.5299999999999994</v>
      </c>
      <c r="F51" s="34">
        <v>8075</v>
      </c>
      <c r="G51" s="98">
        <v>-3.08</v>
      </c>
      <c r="H51" s="34">
        <v>8500</v>
      </c>
      <c r="I51" s="98">
        <v>-3</v>
      </c>
      <c r="J51" s="34">
        <v>10633</v>
      </c>
      <c r="K51" s="98">
        <v>-6.4</v>
      </c>
      <c r="L51" s="34">
        <v>8767</v>
      </c>
      <c r="M51" s="98">
        <v>-4.79</v>
      </c>
      <c r="N51" s="34">
        <v>9550</v>
      </c>
      <c r="O51" s="98">
        <v>-13.68</v>
      </c>
      <c r="P51" s="34">
        <v>11742</v>
      </c>
      <c r="Q51" s="98">
        <v>0.49</v>
      </c>
    </row>
    <row r="52" spans="1:25" s="108" customFormat="1" ht="12" customHeight="1" x14ac:dyDescent="0.4">
      <c r="A52" s="35" t="s">
        <v>66</v>
      </c>
      <c r="B52" s="104" t="s">
        <v>91</v>
      </c>
      <c r="C52" s="126" t="s">
        <v>92</v>
      </c>
      <c r="D52" s="36">
        <v>8931</v>
      </c>
      <c r="E52" s="97">
        <v>2.93</v>
      </c>
      <c r="F52" s="36">
        <v>7383</v>
      </c>
      <c r="G52" s="97">
        <v>0.14000000000000001</v>
      </c>
      <c r="H52" s="104" t="s">
        <v>91</v>
      </c>
      <c r="I52" s="126" t="s">
        <v>92</v>
      </c>
      <c r="J52" s="104" t="s">
        <v>91</v>
      </c>
      <c r="K52" s="126" t="s">
        <v>92</v>
      </c>
      <c r="L52" s="36">
        <v>6608</v>
      </c>
      <c r="M52" s="97">
        <v>-6.1</v>
      </c>
      <c r="N52" s="36">
        <v>6600</v>
      </c>
      <c r="O52" s="97">
        <v>-4.3499999999999996</v>
      </c>
      <c r="P52" s="36">
        <v>7071</v>
      </c>
      <c r="Q52" s="97">
        <v>-1.02</v>
      </c>
    </row>
    <row r="53" spans="1:25" s="108" customFormat="1" ht="12" customHeight="1" x14ac:dyDescent="0.4">
      <c r="A53" s="15" t="s">
        <v>67</v>
      </c>
      <c r="B53" s="34">
        <v>6623</v>
      </c>
      <c r="C53" s="98">
        <v>-0.41</v>
      </c>
      <c r="D53" s="34">
        <v>6285</v>
      </c>
      <c r="E53" s="98">
        <v>-0.28999999999999998</v>
      </c>
      <c r="F53" s="34">
        <v>7049</v>
      </c>
      <c r="G53" s="98">
        <v>-1.82</v>
      </c>
      <c r="H53" s="34">
        <v>6900</v>
      </c>
      <c r="I53" s="98">
        <v>-4.67</v>
      </c>
      <c r="J53" s="34">
        <v>6050</v>
      </c>
      <c r="K53" s="98">
        <v>-1.58</v>
      </c>
      <c r="L53" s="34">
        <v>6728</v>
      </c>
      <c r="M53" s="98">
        <v>2.2999999999999998</v>
      </c>
      <c r="N53" s="34">
        <v>6463</v>
      </c>
      <c r="O53" s="98">
        <v>-1.34</v>
      </c>
      <c r="P53" s="34">
        <v>6684</v>
      </c>
      <c r="Q53" s="98">
        <v>-0.18</v>
      </c>
    </row>
    <row r="54" spans="1:25" s="108" customFormat="1" ht="12" customHeight="1" x14ac:dyDescent="0.4">
      <c r="A54" s="35" t="s">
        <v>68</v>
      </c>
      <c r="B54" s="36">
        <v>3042</v>
      </c>
      <c r="C54" s="97">
        <v>0.86</v>
      </c>
      <c r="D54" s="36">
        <v>2378</v>
      </c>
      <c r="E54" s="97">
        <v>-10.09</v>
      </c>
      <c r="F54" s="104" t="s">
        <v>91</v>
      </c>
      <c r="G54" s="126" t="s">
        <v>92</v>
      </c>
      <c r="H54" s="36">
        <v>3290</v>
      </c>
      <c r="I54" s="99">
        <v>-2.0499999999999998</v>
      </c>
      <c r="J54" s="36">
        <v>2767</v>
      </c>
      <c r="K54" s="97">
        <v>-1.32</v>
      </c>
      <c r="L54" s="36">
        <v>2963</v>
      </c>
      <c r="M54" s="97">
        <v>0</v>
      </c>
      <c r="N54" s="36">
        <v>2720</v>
      </c>
      <c r="O54" s="97">
        <v>1.8</v>
      </c>
      <c r="P54" s="36">
        <v>2981</v>
      </c>
      <c r="Q54" s="97">
        <v>-1.84</v>
      </c>
    </row>
    <row r="55" spans="1:25" s="108" customFormat="1" ht="12" customHeight="1" x14ac:dyDescent="0.4">
      <c r="A55" s="15" t="s">
        <v>84</v>
      </c>
      <c r="B55" s="114" t="s">
        <v>91</v>
      </c>
      <c r="C55" s="127" t="s">
        <v>92</v>
      </c>
      <c r="D55" s="34">
        <v>500</v>
      </c>
      <c r="E55" s="100">
        <v>3.95</v>
      </c>
      <c r="F55" s="114">
        <v>480</v>
      </c>
      <c r="G55" s="127">
        <v>2.78</v>
      </c>
      <c r="H55" s="34">
        <v>513</v>
      </c>
      <c r="I55" s="98">
        <v>1.79</v>
      </c>
      <c r="J55" s="34">
        <v>512</v>
      </c>
      <c r="K55" s="98">
        <v>1.39</v>
      </c>
      <c r="L55" s="34">
        <v>454</v>
      </c>
      <c r="M55" s="98">
        <v>-3.81</v>
      </c>
      <c r="N55" s="34">
        <v>517</v>
      </c>
      <c r="O55" s="98">
        <v>-4.6100000000000003</v>
      </c>
      <c r="P55" s="34">
        <v>533</v>
      </c>
      <c r="Q55" s="98">
        <v>3.9</v>
      </c>
    </row>
    <row r="56" spans="1:25" s="110" customFormat="1" ht="12" customHeight="1" x14ac:dyDescent="0.45">
      <c r="A56" s="35" t="s">
        <v>85</v>
      </c>
      <c r="B56" s="36" t="s">
        <v>91</v>
      </c>
      <c r="C56" s="97" t="s">
        <v>92</v>
      </c>
      <c r="D56" s="36">
        <v>16073</v>
      </c>
      <c r="E56" s="97">
        <v>-1.28</v>
      </c>
      <c r="F56" s="36">
        <v>19950</v>
      </c>
      <c r="G56" s="97">
        <v>1.01</v>
      </c>
      <c r="H56" s="36" t="s">
        <v>91</v>
      </c>
      <c r="I56" s="97" t="s">
        <v>92</v>
      </c>
      <c r="J56" s="36">
        <v>11708</v>
      </c>
      <c r="K56" s="97">
        <v>-6.09</v>
      </c>
      <c r="L56" s="36">
        <v>19500</v>
      </c>
      <c r="M56" s="97">
        <v>0</v>
      </c>
      <c r="N56" s="36">
        <v>22535</v>
      </c>
      <c r="O56" s="97">
        <v>0.32</v>
      </c>
      <c r="P56" s="104" t="s">
        <v>91</v>
      </c>
      <c r="Q56" s="126" t="s">
        <v>92</v>
      </c>
      <c r="R56" s="37"/>
      <c r="S56" s="94"/>
      <c r="T56" s="37"/>
      <c r="U56" s="94"/>
      <c r="V56" s="37"/>
      <c r="W56" s="93"/>
      <c r="X56" s="37"/>
      <c r="Y56" s="94"/>
    </row>
    <row r="57" spans="1:25" s="40" customFormat="1" ht="12" customHeight="1" x14ac:dyDescent="0.45">
      <c r="A57" s="15" t="s">
        <v>69</v>
      </c>
      <c r="B57" s="34">
        <v>16867</v>
      </c>
      <c r="C57" s="98">
        <v>-0.3</v>
      </c>
      <c r="D57" s="34">
        <v>18675</v>
      </c>
      <c r="E57" s="98">
        <v>0.13</v>
      </c>
      <c r="F57" s="114" t="s">
        <v>91</v>
      </c>
      <c r="G57" s="127" t="s">
        <v>92</v>
      </c>
      <c r="H57" s="119">
        <v>16778</v>
      </c>
      <c r="I57" s="127" t="s">
        <v>92</v>
      </c>
      <c r="J57" s="34">
        <v>19510</v>
      </c>
      <c r="K57" s="98">
        <v>1.45</v>
      </c>
      <c r="L57" s="34">
        <v>19000</v>
      </c>
      <c r="M57" s="98">
        <v>-1.72</v>
      </c>
      <c r="N57" s="34">
        <v>22763</v>
      </c>
      <c r="O57" s="98">
        <v>2.8</v>
      </c>
      <c r="P57" s="34">
        <v>20000</v>
      </c>
      <c r="Q57" s="98">
        <v>-1.23</v>
      </c>
      <c r="S57" s="101"/>
      <c r="U57" s="101"/>
      <c r="W57" s="101"/>
      <c r="Y57" s="101"/>
    </row>
    <row r="58" spans="1:25" s="40" customFormat="1" ht="12" customHeight="1" x14ac:dyDescent="0.45">
      <c r="A58" s="35" t="s">
        <v>70</v>
      </c>
      <c r="B58" s="36">
        <v>39733</v>
      </c>
      <c r="C58" s="97">
        <v>0.59</v>
      </c>
      <c r="D58" s="36">
        <v>41333</v>
      </c>
      <c r="E58" s="97">
        <v>0</v>
      </c>
      <c r="F58" s="36">
        <v>80900</v>
      </c>
      <c r="G58" s="97">
        <v>0</v>
      </c>
      <c r="H58" s="36">
        <v>46250</v>
      </c>
      <c r="I58" s="97">
        <v>2.4</v>
      </c>
      <c r="J58" s="82" t="s">
        <v>91</v>
      </c>
      <c r="K58" s="111" t="s">
        <v>92</v>
      </c>
      <c r="L58" s="36">
        <v>34933</v>
      </c>
      <c r="M58" s="97">
        <v>1.5</v>
      </c>
      <c r="N58" s="36">
        <v>55025</v>
      </c>
      <c r="O58" s="97">
        <v>1.52</v>
      </c>
      <c r="P58" s="36">
        <v>36000</v>
      </c>
      <c r="Q58" s="97">
        <v>0.7</v>
      </c>
      <c r="S58" s="101"/>
      <c r="U58" s="101"/>
      <c r="W58" s="101"/>
      <c r="Y58" s="101"/>
    </row>
    <row r="59" spans="1:25" s="40" customFormat="1" ht="12" customHeight="1" x14ac:dyDescent="0.45">
      <c r="A59" s="15" t="s">
        <v>71</v>
      </c>
      <c r="B59" s="34">
        <v>11007</v>
      </c>
      <c r="C59" s="98">
        <v>-0.24</v>
      </c>
      <c r="D59" s="34">
        <v>13856</v>
      </c>
      <c r="E59" s="98">
        <v>0.09</v>
      </c>
      <c r="F59" s="34">
        <v>16733</v>
      </c>
      <c r="G59" s="98">
        <v>0.8</v>
      </c>
      <c r="H59" s="34">
        <v>12443</v>
      </c>
      <c r="I59" s="98">
        <v>-0.85</v>
      </c>
      <c r="J59" s="34">
        <v>13540</v>
      </c>
      <c r="K59" s="98">
        <v>6.72</v>
      </c>
      <c r="L59" s="34">
        <v>13357</v>
      </c>
      <c r="M59" s="98">
        <v>0.59</v>
      </c>
      <c r="N59" s="34">
        <v>14070</v>
      </c>
      <c r="O59" s="98">
        <v>-2.14</v>
      </c>
      <c r="P59" s="114" t="s">
        <v>91</v>
      </c>
      <c r="Q59" s="127" t="s">
        <v>92</v>
      </c>
      <c r="S59" s="101"/>
      <c r="U59" s="101"/>
      <c r="W59" s="101"/>
      <c r="Y59" s="101"/>
    </row>
    <row r="60" spans="1:25" s="40" customFormat="1" ht="12" customHeight="1" x14ac:dyDescent="0.45">
      <c r="A60" s="35" t="s">
        <v>72</v>
      </c>
      <c r="B60" s="36">
        <v>10697</v>
      </c>
      <c r="C60" s="97">
        <v>3.65</v>
      </c>
      <c r="D60" s="104">
        <v>3367</v>
      </c>
      <c r="E60" s="126">
        <v>1.35</v>
      </c>
      <c r="F60" s="36">
        <v>9038</v>
      </c>
      <c r="G60" s="97">
        <v>-3.31</v>
      </c>
      <c r="H60" s="36">
        <v>10215</v>
      </c>
      <c r="I60" s="99">
        <v>-4.16</v>
      </c>
      <c r="J60" s="36">
        <v>12797</v>
      </c>
      <c r="K60" s="97">
        <v>-3.8</v>
      </c>
      <c r="L60" s="104" t="s">
        <v>91</v>
      </c>
      <c r="M60" s="126" t="s">
        <v>92</v>
      </c>
      <c r="N60" s="36">
        <v>8305</v>
      </c>
      <c r="O60" s="97">
        <v>0.13</v>
      </c>
      <c r="P60" s="36">
        <v>9939</v>
      </c>
      <c r="Q60" s="97">
        <v>-7.15</v>
      </c>
      <c r="S60" s="101"/>
      <c r="U60" s="101"/>
      <c r="W60" s="101"/>
      <c r="Y60" s="101"/>
    </row>
    <row r="61" spans="1:25" s="40" customFormat="1" ht="12" customHeight="1" x14ac:dyDescent="0.45">
      <c r="A61" s="15" t="s">
        <v>73</v>
      </c>
      <c r="B61" s="34">
        <v>3952</v>
      </c>
      <c r="C61" s="98">
        <v>0.18</v>
      </c>
      <c r="D61" s="34">
        <v>6003</v>
      </c>
      <c r="E61" s="98">
        <v>-1.59</v>
      </c>
      <c r="F61" s="34">
        <v>4086</v>
      </c>
      <c r="G61" s="98">
        <v>-2.08</v>
      </c>
      <c r="H61" s="34">
        <v>3770</v>
      </c>
      <c r="I61" s="98">
        <v>-2.46</v>
      </c>
      <c r="J61" s="34">
        <v>3860</v>
      </c>
      <c r="K61" s="98">
        <v>-3.23</v>
      </c>
      <c r="L61" s="114" t="s">
        <v>91</v>
      </c>
      <c r="M61" s="127" t="s">
        <v>92</v>
      </c>
      <c r="N61" s="34">
        <v>3934</v>
      </c>
      <c r="O61" s="98">
        <v>-2.89</v>
      </c>
      <c r="P61" s="114" t="s">
        <v>91</v>
      </c>
      <c r="Q61" s="127" t="s">
        <v>92</v>
      </c>
      <c r="S61" s="101"/>
      <c r="U61" s="101"/>
      <c r="W61" s="101"/>
      <c r="Y61" s="101"/>
    </row>
    <row r="62" spans="1:25" s="40" customFormat="1" ht="12" customHeight="1" x14ac:dyDescent="0.45">
      <c r="A62" s="35" t="s">
        <v>74</v>
      </c>
      <c r="B62" s="36">
        <v>11040</v>
      </c>
      <c r="C62" s="97">
        <v>0.59</v>
      </c>
      <c r="D62" s="36">
        <v>13018</v>
      </c>
      <c r="E62" s="97">
        <v>-2.71</v>
      </c>
      <c r="F62" s="36">
        <v>14557</v>
      </c>
      <c r="G62" s="97">
        <v>0.59</v>
      </c>
      <c r="H62" s="36">
        <v>11032</v>
      </c>
      <c r="I62" s="97">
        <v>-0.22</v>
      </c>
      <c r="J62" s="36">
        <v>15281</v>
      </c>
      <c r="K62" s="97">
        <v>-0.89</v>
      </c>
      <c r="L62" s="36">
        <v>13831</v>
      </c>
      <c r="M62" s="111">
        <v>-3.16</v>
      </c>
      <c r="N62" s="36">
        <v>12751</v>
      </c>
      <c r="O62" s="97">
        <v>-1.64</v>
      </c>
      <c r="P62" s="36">
        <v>18092</v>
      </c>
      <c r="Q62" s="97">
        <v>-0.28999999999999998</v>
      </c>
      <c r="S62" s="101"/>
      <c r="U62" s="101"/>
      <c r="W62" s="101"/>
      <c r="Y62" s="101"/>
    </row>
    <row r="63" spans="1:25" s="40" customFormat="1" ht="12" customHeight="1" x14ac:dyDescent="0.45">
      <c r="A63" s="15" t="s">
        <v>75</v>
      </c>
      <c r="B63" s="34">
        <v>3463</v>
      </c>
      <c r="C63" s="98">
        <v>0.2</v>
      </c>
      <c r="D63" s="34">
        <v>3672</v>
      </c>
      <c r="E63" s="98">
        <v>-3.42</v>
      </c>
      <c r="F63" s="34">
        <v>4501</v>
      </c>
      <c r="G63" s="98">
        <v>-1.75</v>
      </c>
      <c r="H63" s="34">
        <v>3404</v>
      </c>
      <c r="I63" s="98">
        <v>-0.7</v>
      </c>
      <c r="J63" s="34">
        <v>5027</v>
      </c>
      <c r="K63" s="98">
        <v>0.12</v>
      </c>
      <c r="L63" s="34">
        <v>4000</v>
      </c>
      <c r="M63" s="115">
        <v>0.43</v>
      </c>
      <c r="N63" s="34">
        <v>4430</v>
      </c>
      <c r="O63" s="98">
        <v>-1.93</v>
      </c>
      <c r="P63" s="34">
        <v>4327</v>
      </c>
      <c r="Q63" s="98">
        <v>-2.72</v>
      </c>
      <c r="S63" s="101"/>
      <c r="U63" s="101"/>
      <c r="W63" s="101"/>
      <c r="Y63" s="101"/>
    </row>
    <row r="64" spans="1:25" s="40" customFormat="1" ht="12" customHeight="1" x14ac:dyDescent="0.45">
      <c r="A64" s="35" t="s">
        <v>76</v>
      </c>
      <c r="B64" s="36">
        <v>4315</v>
      </c>
      <c r="C64" s="97">
        <v>0.51</v>
      </c>
      <c r="D64" s="36">
        <v>4422</v>
      </c>
      <c r="E64" s="111">
        <v>-7.2</v>
      </c>
      <c r="F64" s="36">
        <v>3878</v>
      </c>
      <c r="G64" s="97">
        <v>-2.93</v>
      </c>
      <c r="H64" s="36">
        <v>4267</v>
      </c>
      <c r="I64" s="97">
        <v>-0.21</v>
      </c>
      <c r="J64" s="36">
        <v>5556</v>
      </c>
      <c r="K64" s="99">
        <v>0.76</v>
      </c>
      <c r="L64" s="36">
        <v>3479</v>
      </c>
      <c r="M64" s="97">
        <v>0</v>
      </c>
      <c r="N64" s="36" t="s">
        <v>91</v>
      </c>
      <c r="O64" s="126" t="s">
        <v>92</v>
      </c>
      <c r="P64" s="36">
        <v>4201</v>
      </c>
      <c r="Q64" s="97">
        <v>-3.27</v>
      </c>
      <c r="S64" s="101"/>
      <c r="U64" s="101"/>
      <c r="W64" s="101"/>
      <c r="Y64" s="101"/>
    </row>
    <row r="65" spans="1:25" s="40" customFormat="1" ht="12" customHeight="1" x14ac:dyDescent="0.45">
      <c r="A65" s="15" t="s">
        <v>77</v>
      </c>
      <c r="B65" s="34">
        <v>29593</v>
      </c>
      <c r="C65" s="98">
        <v>-0.89</v>
      </c>
      <c r="D65" s="34">
        <v>32756</v>
      </c>
      <c r="E65" s="100">
        <v>-2.81</v>
      </c>
      <c r="F65" s="34" t="s">
        <v>91</v>
      </c>
      <c r="G65" s="127" t="s">
        <v>92</v>
      </c>
      <c r="H65" s="34">
        <v>32222</v>
      </c>
      <c r="I65" s="98">
        <v>1.1399999999999999</v>
      </c>
      <c r="J65" s="34">
        <v>33796</v>
      </c>
      <c r="K65" s="100">
        <v>3.4</v>
      </c>
      <c r="L65" s="34" t="s">
        <v>91</v>
      </c>
      <c r="M65" s="127" t="s">
        <v>92</v>
      </c>
      <c r="N65" s="34">
        <v>32333</v>
      </c>
      <c r="O65" s="98">
        <v>0.78</v>
      </c>
      <c r="P65" s="34" t="s">
        <v>91</v>
      </c>
      <c r="Q65" s="127" t="s">
        <v>92</v>
      </c>
      <c r="S65" s="101"/>
      <c r="U65" s="101"/>
      <c r="W65" s="101"/>
      <c r="Y65" s="101"/>
    </row>
    <row r="66" spans="1:25" s="40" customFormat="1" ht="12" customHeight="1" x14ac:dyDescent="0.45">
      <c r="A66" s="35" t="s">
        <v>78</v>
      </c>
      <c r="B66" s="36">
        <v>38897</v>
      </c>
      <c r="C66" s="136">
        <v>0.72</v>
      </c>
      <c r="D66" s="36">
        <v>29507</v>
      </c>
      <c r="E66" s="97">
        <v>-2</v>
      </c>
      <c r="F66" s="36">
        <v>35000</v>
      </c>
      <c r="G66" s="97">
        <v>0.09</v>
      </c>
      <c r="H66" s="120" t="s">
        <v>91</v>
      </c>
      <c r="I66" s="126" t="s">
        <v>92</v>
      </c>
      <c r="J66" s="36">
        <v>31250</v>
      </c>
      <c r="K66" s="97">
        <v>-1.7</v>
      </c>
      <c r="L66" s="36">
        <v>31148</v>
      </c>
      <c r="M66" s="97">
        <v>1.29</v>
      </c>
      <c r="N66" s="36">
        <v>33790</v>
      </c>
      <c r="O66" s="97">
        <v>-5.54</v>
      </c>
      <c r="P66" s="36">
        <v>37392</v>
      </c>
      <c r="Q66" s="97">
        <v>0.56999999999999995</v>
      </c>
      <c r="R66" s="41"/>
      <c r="S66" s="42"/>
      <c r="T66" s="41"/>
      <c r="U66" s="42"/>
      <c r="V66" s="41"/>
      <c r="W66" s="42"/>
      <c r="X66" s="41"/>
      <c r="Y66" s="42"/>
    </row>
    <row r="67" spans="1:25" s="40" customFormat="1" ht="12" customHeight="1" x14ac:dyDescent="0.45">
      <c r="A67" s="15" t="s">
        <v>79</v>
      </c>
      <c r="B67" s="121">
        <v>16869</v>
      </c>
      <c r="C67" s="115">
        <v>1.53</v>
      </c>
      <c r="D67" s="34">
        <v>14227</v>
      </c>
      <c r="E67" s="98">
        <v>4.96</v>
      </c>
      <c r="F67" s="34">
        <v>16547</v>
      </c>
      <c r="G67" s="98">
        <v>-2.33</v>
      </c>
      <c r="H67" s="114" t="s">
        <v>91</v>
      </c>
      <c r="I67" s="127" t="s">
        <v>92</v>
      </c>
      <c r="J67" s="34">
        <v>26550</v>
      </c>
      <c r="K67" s="98">
        <v>-3.36</v>
      </c>
      <c r="L67" s="119" t="s">
        <v>91</v>
      </c>
      <c r="M67" s="127" t="s">
        <v>92</v>
      </c>
      <c r="N67" s="34">
        <v>14459</v>
      </c>
      <c r="O67" s="98">
        <v>0.31</v>
      </c>
      <c r="P67" s="34">
        <v>20859</v>
      </c>
      <c r="Q67" s="98">
        <v>-3.61</v>
      </c>
      <c r="R67" s="41"/>
      <c r="S67" s="42"/>
      <c r="T67" s="41"/>
      <c r="U67" s="42"/>
      <c r="V67" s="41"/>
      <c r="W67" s="42"/>
      <c r="X67" s="41"/>
      <c r="Y67" s="42"/>
    </row>
    <row r="68" spans="1:25" s="40" customFormat="1" ht="12" customHeight="1" x14ac:dyDescent="0.45">
      <c r="A68" s="35" t="s">
        <v>80</v>
      </c>
      <c r="B68" s="36">
        <v>3896</v>
      </c>
      <c r="C68" s="97">
        <v>-2.0099999999999998</v>
      </c>
      <c r="D68" s="36">
        <v>3129</v>
      </c>
      <c r="E68" s="97">
        <v>-2.89</v>
      </c>
      <c r="F68" s="36">
        <v>3419</v>
      </c>
      <c r="G68" s="97">
        <v>1.36</v>
      </c>
      <c r="H68" s="104" t="s">
        <v>91</v>
      </c>
      <c r="I68" s="126" t="s">
        <v>92</v>
      </c>
      <c r="J68" s="36">
        <v>5333</v>
      </c>
      <c r="K68" s="97">
        <v>1.21</v>
      </c>
      <c r="L68" s="128">
        <v>3286</v>
      </c>
      <c r="M68" s="111">
        <v>4.58</v>
      </c>
      <c r="N68" s="36">
        <v>4245</v>
      </c>
      <c r="O68" s="97">
        <v>-2.88</v>
      </c>
      <c r="P68" s="36">
        <v>4947</v>
      </c>
      <c r="Q68" s="97">
        <v>0.45</v>
      </c>
      <c r="R68" s="41"/>
      <c r="S68" s="42"/>
      <c r="T68" s="41"/>
      <c r="U68" s="42"/>
      <c r="V68" s="41"/>
      <c r="W68" s="42"/>
      <c r="X68" s="41"/>
      <c r="Y68" s="42"/>
    </row>
    <row r="69" spans="1:25" s="40" customFormat="1" ht="12" customHeight="1" x14ac:dyDescent="0.45">
      <c r="A69" s="15" t="s">
        <v>81</v>
      </c>
      <c r="B69" s="34">
        <v>7137</v>
      </c>
      <c r="C69" s="98">
        <v>-0.01</v>
      </c>
      <c r="D69" s="34">
        <v>7385</v>
      </c>
      <c r="E69" s="98">
        <v>4.59</v>
      </c>
      <c r="F69" s="34">
        <v>7413</v>
      </c>
      <c r="G69" s="98">
        <v>-0.23</v>
      </c>
      <c r="H69" s="34">
        <v>6725</v>
      </c>
      <c r="I69" s="98">
        <v>0.55000000000000004</v>
      </c>
      <c r="J69" s="34">
        <v>7708</v>
      </c>
      <c r="K69" s="98">
        <v>-0.9</v>
      </c>
      <c r="L69" s="34">
        <v>4188</v>
      </c>
      <c r="M69" s="98">
        <v>-0.31</v>
      </c>
      <c r="N69" s="34">
        <v>8148</v>
      </c>
      <c r="O69" s="98">
        <v>2.52</v>
      </c>
      <c r="P69" s="34">
        <v>6852</v>
      </c>
      <c r="Q69" s="98">
        <v>-1.23</v>
      </c>
      <c r="R69" s="41"/>
      <c r="S69" s="42"/>
      <c r="T69" s="41"/>
      <c r="U69" s="42"/>
      <c r="V69" s="41"/>
      <c r="W69" s="42"/>
      <c r="X69" s="41"/>
      <c r="Y69" s="42"/>
    </row>
    <row r="70" spans="1:25" s="40" customFormat="1" ht="12" customHeight="1" x14ac:dyDescent="0.45">
      <c r="A70" s="35" t="s">
        <v>82</v>
      </c>
      <c r="B70" s="36">
        <v>16550</v>
      </c>
      <c r="C70" s="97">
        <v>-0.14000000000000001</v>
      </c>
      <c r="D70" s="120" t="s">
        <v>91</v>
      </c>
      <c r="E70" s="126" t="s">
        <v>92</v>
      </c>
      <c r="F70" s="36">
        <v>13132</v>
      </c>
      <c r="G70" s="97">
        <v>3.77</v>
      </c>
      <c r="H70" s="36">
        <v>17509</v>
      </c>
      <c r="I70" s="97">
        <v>0.6</v>
      </c>
      <c r="J70" s="36">
        <v>20949</v>
      </c>
      <c r="K70" s="97">
        <v>0.56000000000000005</v>
      </c>
      <c r="L70" s="36">
        <v>12337</v>
      </c>
      <c r="M70" s="97">
        <v>8.83</v>
      </c>
      <c r="N70" s="36">
        <v>17919</v>
      </c>
      <c r="O70" s="97">
        <v>6.57</v>
      </c>
      <c r="P70" s="36" t="s">
        <v>91</v>
      </c>
      <c r="Q70" s="97" t="s">
        <v>92</v>
      </c>
      <c r="S70" s="101"/>
      <c r="U70" s="101"/>
      <c r="W70" s="101"/>
      <c r="Y70" s="101"/>
    </row>
    <row r="71" spans="1:25" s="40" customFormat="1" ht="12" customHeight="1" x14ac:dyDescent="0.45">
      <c r="A71" s="150" t="s">
        <v>83</v>
      </c>
      <c r="B71" s="151">
        <v>15270</v>
      </c>
      <c r="C71" s="152">
        <v>7.0000000000000007E-2</v>
      </c>
      <c r="D71" s="153">
        <v>17180</v>
      </c>
      <c r="E71" s="154">
        <v>-5.59</v>
      </c>
      <c r="F71" s="155" t="s">
        <v>91</v>
      </c>
      <c r="G71" s="156" t="s">
        <v>92</v>
      </c>
      <c r="H71" s="151">
        <v>12109</v>
      </c>
      <c r="I71" s="152">
        <v>1.53</v>
      </c>
      <c r="J71" s="151">
        <v>14894</v>
      </c>
      <c r="K71" s="152">
        <v>0.03</v>
      </c>
      <c r="L71" s="153">
        <v>19052</v>
      </c>
      <c r="M71" s="157">
        <v>0.78</v>
      </c>
      <c r="N71" s="155">
        <v>10947</v>
      </c>
      <c r="O71" s="156">
        <v>-0.22</v>
      </c>
      <c r="P71" s="151">
        <v>18541</v>
      </c>
      <c r="Q71" s="152">
        <v>0.71</v>
      </c>
      <c r="S71" s="101"/>
      <c r="U71" s="101"/>
      <c r="W71" s="101"/>
      <c r="Y71" s="101"/>
    </row>
    <row r="72" spans="1:25" s="40" customFormat="1" x14ac:dyDescent="0.45">
      <c r="A72" s="15"/>
      <c r="B72" s="34"/>
      <c r="C72" s="98"/>
      <c r="D72" s="121"/>
      <c r="E72" s="100"/>
      <c r="F72" s="119"/>
      <c r="G72" s="83"/>
      <c r="H72" s="34"/>
      <c r="I72" s="98"/>
      <c r="J72" s="34"/>
      <c r="K72" s="98"/>
      <c r="L72" s="121"/>
      <c r="M72" s="115"/>
      <c r="N72" s="119"/>
      <c r="O72" s="122"/>
      <c r="P72" s="34"/>
      <c r="Q72" s="98"/>
      <c r="R72" s="37"/>
      <c r="S72" s="38"/>
      <c r="T72" s="37"/>
      <c r="U72" s="38"/>
      <c r="V72" s="37"/>
      <c r="W72" s="38"/>
      <c r="X72" s="37"/>
      <c r="Y72" s="38"/>
    </row>
    <row r="73" spans="1:25" s="40" customFormat="1" x14ac:dyDescent="0.45">
      <c r="A73" s="24" t="s">
        <v>12</v>
      </c>
      <c r="B73" s="41"/>
      <c r="C73" s="42"/>
      <c r="D73" s="41"/>
      <c r="E73" s="42"/>
      <c r="F73" s="41"/>
      <c r="G73" s="42"/>
      <c r="H73" s="41"/>
      <c r="I73" s="42"/>
      <c r="J73" s="41"/>
      <c r="K73" s="42"/>
      <c r="L73" s="41"/>
      <c r="M73" s="42"/>
      <c r="N73" s="41"/>
      <c r="O73" s="42"/>
      <c r="P73" s="41"/>
      <c r="Q73" s="42"/>
      <c r="R73" s="41"/>
      <c r="S73" s="42"/>
      <c r="T73" s="41"/>
      <c r="U73" s="42"/>
      <c r="V73" s="41"/>
      <c r="W73" s="42"/>
      <c r="X73" s="41"/>
      <c r="Y73" s="42"/>
    </row>
    <row r="74" spans="1:25" s="40" customFormat="1" x14ac:dyDescent="0.45">
      <c r="A74" s="43" t="s">
        <v>13</v>
      </c>
      <c r="B74" s="41"/>
      <c r="C74" s="42"/>
      <c r="D74" s="41"/>
      <c r="E74" s="42"/>
      <c r="F74" s="41"/>
      <c r="G74" s="42"/>
      <c r="H74" s="41"/>
      <c r="I74" s="42"/>
      <c r="J74" s="41"/>
      <c r="K74" s="42"/>
      <c r="L74" s="41"/>
      <c r="M74" s="42"/>
      <c r="N74" s="41"/>
      <c r="O74" s="42"/>
      <c r="P74" s="41"/>
      <c r="Q74" s="42"/>
      <c r="R74" s="41"/>
      <c r="S74" s="42"/>
      <c r="T74" s="41"/>
      <c r="U74" s="42"/>
      <c r="V74" s="41"/>
      <c r="W74" s="42"/>
      <c r="X74" s="41"/>
      <c r="Y74" s="42"/>
    </row>
    <row r="75" spans="1:25" s="40" customFormat="1" ht="19.5" customHeight="1" x14ac:dyDescent="0.45">
      <c r="A75" s="142" t="s">
        <v>50</v>
      </c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</row>
    <row r="76" spans="1:25" s="40" customFormat="1" x14ac:dyDescent="0.45">
      <c r="A76" s="24" t="s">
        <v>14</v>
      </c>
      <c r="B76" s="44"/>
      <c r="C76" s="45"/>
      <c r="D76" s="46"/>
      <c r="E76" s="45"/>
      <c r="F76" s="46"/>
      <c r="G76" s="45"/>
      <c r="H76" s="47"/>
      <c r="I76" s="45"/>
      <c r="J76" s="44"/>
      <c r="K76" s="45"/>
      <c r="L76" s="46"/>
      <c r="M76" s="45"/>
      <c r="N76" s="46"/>
      <c r="O76" s="45"/>
      <c r="P76" s="47"/>
      <c r="Q76" s="45"/>
      <c r="R76" s="46"/>
      <c r="S76" s="48"/>
      <c r="T76" s="46"/>
      <c r="U76" s="48"/>
      <c r="V76" s="46"/>
      <c r="W76" s="48"/>
      <c r="X76" s="46"/>
      <c r="Y76" s="48"/>
    </row>
    <row r="77" spans="1:25" s="40" customFormat="1" x14ac:dyDescent="0.45">
      <c r="A77" s="49" t="s">
        <v>15</v>
      </c>
      <c r="B77" s="41"/>
      <c r="C77" s="42"/>
      <c r="D77" s="41"/>
      <c r="E77" s="42"/>
      <c r="F77" s="41"/>
      <c r="G77" s="42"/>
      <c r="H77" s="41"/>
      <c r="I77" s="42"/>
      <c r="J77" s="41"/>
      <c r="K77" s="42"/>
      <c r="L77" s="41"/>
      <c r="M77" s="42"/>
      <c r="N77" s="41"/>
      <c r="O77" s="42"/>
      <c r="P77" s="41"/>
      <c r="Q77" s="42"/>
      <c r="R77" s="41"/>
      <c r="S77" s="42"/>
      <c r="T77" s="41"/>
      <c r="U77" s="42"/>
      <c r="V77" s="41"/>
      <c r="W77" s="42"/>
      <c r="X77" s="41"/>
      <c r="Y77" s="42"/>
    </row>
    <row r="79" spans="1:25" x14ac:dyDescent="0.45">
      <c r="A79" s="8" t="str">
        <f>+Índice!A14</f>
        <v>Fecha de actualización: 8 de septiembre de 2023</v>
      </c>
      <c r="B79" s="6"/>
      <c r="C79" s="7"/>
      <c r="D79" s="6"/>
      <c r="E79" s="7"/>
      <c r="F79" s="6"/>
      <c r="G79" s="7"/>
      <c r="H79" s="6"/>
      <c r="I79" s="7"/>
      <c r="J79" s="6"/>
      <c r="K79" s="7"/>
      <c r="L79" s="6"/>
      <c r="M79" s="7"/>
      <c r="N79" s="6"/>
      <c r="O79" s="7"/>
      <c r="P79" s="6"/>
      <c r="Q79" s="7"/>
    </row>
  </sheetData>
  <mergeCells count="11">
    <mergeCell ref="A75:Y75"/>
    <mergeCell ref="A4:Q5"/>
    <mergeCell ref="H9:I9"/>
    <mergeCell ref="J9:K9"/>
    <mergeCell ref="L9:M9"/>
    <mergeCell ref="N9:O9"/>
    <mergeCell ref="P9:Q9"/>
    <mergeCell ref="A9:A10"/>
    <mergeCell ref="B9:C9"/>
    <mergeCell ref="D9:E9"/>
    <mergeCell ref="F9:G9"/>
  </mergeCells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F2012-A8C4-4438-9A11-59B020FA0AB4}">
  <dimension ref="A1:I55"/>
  <sheetViews>
    <sheetView showGridLines="0" workbookViewId="0">
      <selection activeCell="A4" sqref="A4:I5"/>
    </sheetView>
  </sheetViews>
  <sheetFormatPr baseColWidth="10" defaultColWidth="11.453125" defaultRowHeight="16" x14ac:dyDescent="0.45"/>
  <cols>
    <col min="1" max="1" width="24.453125" style="56" customWidth="1"/>
    <col min="2" max="2" width="12" style="56" bestFit="1" customWidth="1"/>
    <col min="3" max="3" width="9.453125" style="56" customWidth="1"/>
    <col min="4" max="4" width="13.54296875" style="56" bestFit="1" customWidth="1"/>
    <col min="5" max="5" width="12" style="56" customWidth="1"/>
    <col min="6" max="6" width="10.26953125" style="56" customWidth="1"/>
    <col min="7" max="7" width="9.453125" style="56" customWidth="1"/>
    <col min="8" max="8" width="10.54296875" style="56" customWidth="1"/>
    <col min="9" max="9" width="9.26953125" style="56" customWidth="1"/>
    <col min="10" max="16384" width="11.453125" style="56"/>
  </cols>
  <sheetData>
    <row r="1" spans="1:9" s="50" customFormat="1" ht="18" customHeight="1" x14ac:dyDescent="0.4"/>
    <row r="2" spans="1:9" s="50" customFormat="1" ht="33" customHeight="1" x14ac:dyDescent="0.4"/>
    <row r="3" spans="1:9" s="50" customFormat="1" ht="19" customHeight="1" x14ac:dyDescent="0.4"/>
    <row r="4" spans="1:9" s="50" customFormat="1" ht="18.75" customHeight="1" x14ac:dyDescent="0.4">
      <c r="A4" s="149" t="s">
        <v>0</v>
      </c>
      <c r="B4" s="149"/>
      <c r="C4" s="149"/>
      <c r="D4" s="149"/>
      <c r="E4" s="149"/>
      <c r="F4" s="149"/>
      <c r="G4" s="149"/>
      <c r="H4" s="149"/>
      <c r="I4" s="149"/>
    </row>
    <row r="5" spans="1:9" s="50" customFormat="1" ht="24" customHeight="1" x14ac:dyDescent="0.4">
      <c r="A5" s="149"/>
      <c r="B5" s="149"/>
      <c r="C5" s="149"/>
      <c r="D5" s="149"/>
      <c r="E5" s="149"/>
      <c r="F5" s="149"/>
      <c r="G5" s="149"/>
      <c r="H5" s="149"/>
      <c r="I5" s="149"/>
    </row>
    <row r="6" spans="1:9" s="50" customFormat="1" ht="18.75" customHeight="1" x14ac:dyDescent="0.4">
      <c r="A6" s="51" t="s">
        <v>16</v>
      </c>
      <c r="B6" s="52"/>
      <c r="C6" s="52"/>
      <c r="D6" s="52"/>
      <c r="E6" s="52"/>
      <c r="F6" s="52"/>
      <c r="G6" s="52"/>
      <c r="H6" s="52"/>
      <c r="I6" s="52"/>
    </row>
    <row r="7" spans="1:9" s="50" customFormat="1" ht="15" customHeight="1" x14ac:dyDescent="0.4">
      <c r="A7" s="51" t="s">
        <v>89</v>
      </c>
      <c r="B7" s="52"/>
      <c r="C7" s="52"/>
      <c r="D7" s="52"/>
      <c r="E7" s="52"/>
      <c r="F7" s="52"/>
      <c r="G7" s="52"/>
      <c r="H7" s="52"/>
      <c r="I7" s="52"/>
    </row>
    <row r="8" spans="1:9" s="50" customFormat="1" ht="14" x14ac:dyDescent="0.4"/>
    <row r="9" spans="1:9" x14ac:dyDescent="0.45">
      <c r="A9" s="53" t="s">
        <v>51</v>
      </c>
      <c r="B9" s="54" t="s">
        <v>2</v>
      </c>
      <c r="C9" s="54" t="s">
        <v>3</v>
      </c>
      <c r="D9" s="54" t="s">
        <v>4</v>
      </c>
      <c r="E9" s="55" t="s">
        <v>5</v>
      </c>
      <c r="F9" s="54" t="s">
        <v>6</v>
      </c>
      <c r="G9" s="54" t="s">
        <v>7</v>
      </c>
      <c r="H9" s="54" t="s">
        <v>8</v>
      </c>
      <c r="I9" s="54" t="s">
        <v>9</v>
      </c>
    </row>
    <row r="10" spans="1:9" ht="14" customHeight="1" x14ac:dyDescent="0.45">
      <c r="A10" s="57" t="s">
        <v>17</v>
      </c>
      <c r="B10" s="57"/>
      <c r="C10" s="57"/>
      <c r="D10" s="57"/>
      <c r="E10" s="57"/>
      <c r="F10" s="57"/>
      <c r="G10" s="57"/>
      <c r="H10" s="57"/>
      <c r="I10" s="57"/>
    </row>
    <row r="11" spans="1:9" ht="14" customHeight="1" x14ac:dyDescent="0.45">
      <c r="A11" s="1" t="s">
        <v>18</v>
      </c>
      <c r="B11" s="86" t="s">
        <v>92</v>
      </c>
      <c r="C11" s="58">
        <v>-24.16737830913749</v>
      </c>
      <c r="D11" s="58">
        <v>-6.4935064935064846</v>
      </c>
      <c r="E11" s="86" t="s">
        <v>92</v>
      </c>
      <c r="F11" s="58">
        <v>-26.053639846743305</v>
      </c>
      <c r="G11" s="58">
        <v>-14.688017669795684</v>
      </c>
      <c r="H11" s="58">
        <v>-26.035031847133748</v>
      </c>
      <c r="I11" s="58">
        <v>-1.9173157579388866</v>
      </c>
    </row>
    <row r="12" spans="1:9" ht="14" customHeight="1" x14ac:dyDescent="0.45">
      <c r="A12" s="105" t="s">
        <v>19</v>
      </c>
      <c r="B12" s="60">
        <v>6.0115114048177487</v>
      </c>
      <c r="C12" s="60">
        <v>-0.30424560918270727</v>
      </c>
      <c r="D12" s="60">
        <v>48.264433978719687</v>
      </c>
      <c r="E12" s="84" t="s">
        <v>92</v>
      </c>
      <c r="F12" s="60">
        <v>5.2430886558626932</v>
      </c>
      <c r="G12" s="60">
        <v>-3.8719963557681258</v>
      </c>
      <c r="H12" s="60">
        <v>-13.530906011854359</v>
      </c>
      <c r="I12" s="135" t="s">
        <v>92</v>
      </c>
    </row>
    <row r="13" spans="1:9" ht="14" customHeight="1" x14ac:dyDescent="0.45">
      <c r="A13" s="1" t="s">
        <v>20</v>
      </c>
      <c r="B13" s="58">
        <v>-33.225610987679254</v>
      </c>
      <c r="C13" s="58">
        <v>-34.840008950548238</v>
      </c>
      <c r="D13" s="58">
        <v>-34.872417982989077</v>
      </c>
      <c r="E13" s="58">
        <v>-31.038746908491333</v>
      </c>
      <c r="F13" s="58">
        <v>-28.665568369028016</v>
      </c>
      <c r="G13" s="58">
        <v>-36.387041407423283</v>
      </c>
      <c r="H13" s="58">
        <v>-38.224168823412306</v>
      </c>
      <c r="I13" s="58">
        <v>-36.473279268039107</v>
      </c>
    </row>
    <row r="14" spans="1:9" ht="14" customHeight="1" x14ac:dyDescent="0.45">
      <c r="A14" s="105" t="s">
        <v>21</v>
      </c>
      <c r="B14" s="61">
        <v>-26.133523741520882</v>
      </c>
      <c r="C14" s="60">
        <v>21.031500926497838</v>
      </c>
      <c r="D14" s="60">
        <v>-32.587589700295474</v>
      </c>
      <c r="E14" s="84" t="s">
        <v>92</v>
      </c>
      <c r="F14" s="65">
        <v>22.676579925650529</v>
      </c>
      <c r="G14" s="60">
        <v>-20.746691871455582</v>
      </c>
      <c r="H14" s="60">
        <v>-34.330434782608677</v>
      </c>
      <c r="I14" s="60">
        <v>-5.6055646481178218</v>
      </c>
    </row>
    <row r="15" spans="1:9" ht="14" customHeight="1" x14ac:dyDescent="0.45">
      <c r="A15" s="1" t="s">
        <v>22</v>
      </c>
      <c r="B15" s="86" t="s">
        <v>92</v>
      </c>
      <c r="C15" s="58">
        <v>-36.417250276446723</v>
      </c>
      <c r="D15" s="58">
        <v>-21.402483564645745</v>
      </c>
      <c r="E15" s="58">
        <v>-52.748091603053446</v>
      </c>
      <c r="F15" s="58">
        <v>13.904235727440195</v>
      </c>
      <c r="G15" s="58">
        <v>-10.221354166666652</v>
      </c>
      <c r="H15" s="58">
        <v>6.6711140760511434E-2</v>
      </c>
      <c r="I15" s="85" t="s">
        <v>92</v>
      </c>
    </row>
    <row r="16" spans="1:9" ht="14" customHeight="1" x14ac:dyDescent="0.45">
      <c r="A16" s="105" t="s">
        <v>23</v>
      </c>
      <c r="B16" s="60">
        <v>-19.534767383691864</v>
      </c>
      <c r="C16" s="60">
        <v>0.7566706491437758</v>
      </c>
      <c r="D16" s="60">
        <v>-25.466237942122184</v>
      </c>
      <c r="E16" s="60">
        <v>-29.847124484348488</v>
      </c>
      <c r="F16" s="60">
        <v>85.407905803195945</v>
      </c>
      <c r="G16" s="60">
        <v>-25.8326976862446</v>
      </c>
      <c r="H16" s="60">
        <v>-35.529986052998609</v>
      </c>
      <c r="I16" s="60">
        <v>-19.002201027145993</v>
      </c>
    </row>
    <row r="17" spans="1:9" ht="14" customHeight="1" x14ac:dyDescent="0.45">
      <c r="A17" s="1" t="s">
        <v>24</v>
      </c>
      <c r="B17" s="58">
        <v>-18.385460693153011</v>
      </c>
      <c r="C17" s="58">
        <v>-36.880165289256198</v>
      </c>
      <c r="D17" s="58">
        <v>-24.478009773434028</v>
      </c>
      <c r="E17" s="58">
        <v>-17.342248223986612</v>
      </c>
      <c r="F17" s="58">
        <v>12.884455527847027</v>
      </c>
      <c r="G17" s="58">
        <v>-32.956029603831084</v>
      </c>
      <c r="H17" s="58">
        <v>-40.828402366863905</v>
      </c>
      <c r="I17" s="58">
        <v>10.561423012784887</v>
      </c>
    </row>
    <row r="18" spans="1:9" ht="14" customHeight="1" x14ac:dyDescent="0.45">
      <c r="A18" s="105" t="s">
        <v>25</v>
      </c>
      <c r="B18" s="60">
        <v>-30.734323432343245</v>
      </c>
      <c r="C18" s="60">
        <v>-16.482164821648237</v>
      </c>
      <c r="D18" s="60">
        <v>-16.883116883116887</v>
      </c>
      <c r="E18" s="60">
        <v>-34.734101896615812</v>
      </c>
      <c r="F18" s="60">
        <v>-30.127414714344404</v>
      </c>
      <c r="G18" s="60">
        <v>9.1349062310950302</v>
      </c>
      <c r="H18" s="60">
        <v>-25.254582484725042</v>
      </c>
      <c r="I18" s="60">
        <v>-30.000000000000004</v>
      </c>
    </row>
    <row r="19" spans="1:9" ht="14" customHeight="1" x14ac:dyDescent="0.45">
      <c r="A19" s="1" t="s">
        <v>26</v>
      </c>
      <c r="B19" s="58">
        <v>-49.868351764086363</v>
      </c>
      <c r="C19" s="58">
        <v>-67.118703768932747</v>
      </c>
      <c r="D19" s="58">
        <v>-66.228482003129898</v>
      </c>
      <c r="E19" s="58">
        <v>-72.504848575264816</v>
      </c>
      <c r="F19" s="58">
        <v>-63.914915168397066</v>
      </c>
      <c r="G19" s="58">
        <v>-64.900531810124093</v>
      </c>
      <c r="H19" s="58">
        <v>-75.948083553031836</v>
      </c>
      <c r="I19" s="58">
        <v>-61.818181818181813</v>
      </c>
    </row>
    <row r="20" spans="1:9" ht="14" customHeight="1" x14ac:dyDescent="0.45">
      <c r="A20" s="105" t="s">
        <v>27</v>
      </c>
      <c r="B20" s="60">
        <v>-53.005272407732875</v>
      </c>
      <c r="C20" s="60">
        <v>-70.096021947873794</v>
      </c>
      <c r="D20" s="60">
        <v>-30.692023243528787</v>
      </c>
      <c r="E20" s="60">
        <v>-57.232011747430242</v>
      </c>
      <c r="F20" s="60">
        <v>-55.260977630488824</v>
      </c>
      <c r="G20" s="60">
        <v>-68.075684380032214</v>
      </c>
      <c r="H20" s="60">
        <v>-70.093043863535669</v>
      </c>
      <c r="I20" s="88">
        <v>-57.90575916230366</v>
      </c>
    </row>
    <row r="21" spans="1:9" ht="14" customHeight="1" x14ac:dyDescent="0.45">
      <c r="A21" s="1" t="s">
        <v>28</v>
      </c>
      <c r="B21" s="58">
        <v>3.2546082949308941</v>
      </c>
      <c r="C21" s="58">
        <v>19.481797310593652</v>
      </c>
      <c r="D21" s="58">
        <v>16.173503698722257</v>
      </c>
      <c r="E21" s="86" t="s">
        <v>92</v>
      </c>
      <c r="F21" s="62">
        <v>12.387059166423819</v>
      </c>
      <c r="G21" s="62">
        <v>32.329246935201361</v>
      </c>
      <c r="H21" s="58">
        <v>-13.614427228854463</v>
      </c>
      <c r="I21" s="58">
        <v>1.905328966954456</v>
      </c>
    </row>
    <row r="22" spans="1:9" ht="14" customHeight="1" x14ac:dyDescent="0.45">
      <c r="A22" s="106" t="s">
        <v>29</v>
      </c>
      <c r="B22" s="116" t="s">
        <v>92</v>
      </c>
      <c r="C22" s="64">
        <v>-24.787472035794167</v>
      </c>
      <c r="D22" s="64">
        <v>-31.811414392059547</v>
      </c>
      <c r="E22" s="64">
        <v>-29.702517162471398</v>
      </c>
      <c r="F22" s="64">
        <v>-25.660027790643813</v>
      </c>
      <c r="G22" s="64">
        <v>-50.581959262851605</v>
      </c>
      <c r="H22" s="64">
        <v>-74.169986719787516</v>
      </c>
      <c r="I22" s="89">
        <v>-34.776902887139101</v>
      </c>
    </row>
    <row r="23" spans="1:9" ht="14" customHeight="1" x14ac:dyDescent="0.45">
      <c r="A23" s="57" t="s">
        <v>30</v>
      </c>
      <c r="B23" s="138"/>
      <c r="C23" s="138"/>
      <c r="D23" s="138"/>
      <c r="E23" s="138"/>
      <c r="F23" s="138"/>
      <c r="G23" s="138"/>
      <c r="H23" s="138"/>
      <c r="I23" s="138"/>
    </row>
    <row r="24" spans="1:9" ht="14" customHeight="1" x14ac:dyDescent="0.45">
      <c r="A24" s="1" t="s">
        <v>49</v>
      </c>
      <c r="B24" s="86" t="s">
        <v>92</v>
      </c>
      <c r="C24" s="58">
        <v>-21.575209812782436</v>
      </c>
      <c r="D24" s="86" t="s">
        <v>92</v>
      </c>
      <c r="E24" s="86" t="s">
        <v>92</v>
      </c>
      <c r="F24" s="62">
        <v>-29.575321621247753</v>
      </c>
      <c r="G24" s="85" t="s">
        <v>92</v>
      </c>
      <c r="H24" s="58">
        <v>-35.596794601433999</v>
      </c>
      <c r="I24" s="62">
        <v>-34.520547945205458</v>
      </c>
    </row>
    <row r="25" spans="1:9" ht="14" customHeight="1" x14ac:dyDescent="0.45">
      <c r="A25" s="105" t="s">
        <v>31</v>
      </c>
      <c r="B25" s="60">
        <v>-12.500000000000011</v>
      </c>
      <c r="C25" s="60">
        <v>0.31978072179075223</v>
      </c>
      <c r="D25" s="60">
        <v>6.4568638090070518</v>
      </c>
      <c r="E25" s="84" t="s">
        <v>92</v>
      </c>
      <c r="F25" s="60">
        <v>6.9076823757262762</v>
      </c>
      <c r="G25" s="60">
        <v>-3.6986301369863028</v>
      </c>
      <c r="H25" s="60">
        <v>6.1035758323057632</v>
      </c>
      <c r="I25" s="60">
        <v>-0.48476454293627791</v>
      </c>
    </row>
    <row r="26" spans="1:9" ht="14" customHeight="1" x14ac:dyDescent="0.45">
      <c r="A26" s="1" t="s">
        <v>32</v>
      </c>
      <c r="B26" s="62">
        <v>13.713527851458874</v>
      </c>
      <c r="C26" s="58">
        <v>65.385614126201048</v>
      </c>
      <c r="D26" s="86" t="s">
        <v>92</v>
      </c>
      <c r="E26" s="58">
        <v>22.659176029962545</v>
      </c>
      <c r="F26" s="58">
        <v>51.105563480741736</v>
      </c>
      <c r="G26" s="86" t="s">
        <v>92</v>
      </c>
      <c r="H26" s="58">
        <v>26.856884057970976</v>
      </c>
      <c r="I26" s="62">
        <v>26.534970635344401</v>
      </c>
    </row>
    <row r="27" spans="1:9" ht="14" customHeight="1" x14ac:dyDescent="0.45">
      <c r="A27" s="105" t="s">
        <v>33</v>
      </c>
      <c r="B27" s="84" t="s">
        <v>92</v>
      </c>
      <c r="C27" s="60">
        <v>2.0404858299595041</v>
      </c>
      <c r="D27" s="60">
        <v>3.7121972194352981</v>
      </c>
      <c r="E27" s="87" t="s">
        <v>92</v>
      </c>
      <c r="F27" s="65">
        <v>42.166826462128505</v>
      </c>
      <c r="G27" s="87" t="s">
        <v>92</v>
      </c>
      <c r="H27" s="60">
        <v>-1.4189557940695097</v>
      </c>
      <c r="I27" s="60">
        <v>-5.8215179316096766</v>
      </c>
    </row>
    <row r="28" spans="1:9" ht="14" customHeight="1" x14ac:dyDescent="0.45">
      <c r="A28" s="1" t="s">
        <v>34</v>
      </c>
      <c r="B28" s="58">
        <v>31.028724114896477</v>
      </c>
      <c r="C28" s="58">
        <v>-16.955017301038065</v>
      </c>
      <c r="D28" s="58">
        <v>7.1942446043165464</v>
      </c>
      <c r="E28" s="58">
        <v>10.720104268491326</v>
      </c>
      <c r="F28" s="62">
        <v>8.977035490605445</v>
      </c>
      <c r="G28" s="58">
        <v>63.885898815931071</v>
      </c>
      <c r="H28" s="58">
        <v>16.933737548722405</v>
      </c>
      <c r="I28" s="58">
        <v>19.299111549851911</v>
      </c>
    </row>
    <row r="29" spans="1:9" ht="14" customHeight="1" x14ac:dyDescent="0.45">
      <c r="A29" s="105" t="s">
        <v>52</v>
      </c>
      <c r="B29" s="65">
        <v>6.4181016080831155</v>
      </c>
      <c r="C29" s="87" t="s">
        <v>92</v>
      </c>
      <c r="D29" s="60">
        <v>-22.474576271186454</v>
      </c>
      <c r="E29" s="60">
        <v>-44.837441943551283</v>
      </c>
      <c r="F29" s="87" t="s">
        <v>92</v>
      </c>
      <c r="G29" s="65">
        <v>-30.660988705795223</v>
      </c>
      <c r="H29" s="60">
        <v>45.02999143101971</v>
      </c>
      <c r="I29" s="60">
        <v>-4.8055555555555625</v>
      </c>
    </row>
    <row r="30" spans="1:9" ht="14" customHeight="1" x14ac:dyDescent="0.45">
      <c r="A30" s="1" t="s">
        <v>35</v>
      </c>
      <c r="B30" s="58">
        <v>-8.6611121875605708</v>
      </c>
      <c r="C30" s="58">
        <v>-20.306513409961692</v>
      </c>
      <c r="D30" s="58">
        <v>-18.610654775874192</v>
      </c>
      <c r="E30" s="58">
        <v>-8.104422365088638</v>
      </c>
      <c r="F30" s="58">
        <v>-9.8159509202453972</v>
      </c>
      <c r="G30" s="58">
        <v>-1.4643075045759457</v>
      </c>
      <c r="H30" s="58">
        <v>-20.443154840411491</v>
      </c>
      <c r="I30" s="58">
        <v>-1.6251638269987212</v>
      </c>
    </row>
    <row r="31" spans="1:9" ht="14" customHeight="1" x14ac:dyDescent="0.45">
      <c r="A31" s="105" t="s">
        <v>36</v>
      </c>
      <c r="B31" s="60">
        <v>97.106859542697222</v>
      </c>
      <c r="C31" s="60">
        <v>225.13661202185787</v>
      </c>
      <c r="D31" s="60">
        <v>103.92749244712994</v>
      </c>
      <c r="E31" s="135" t="s">
        <v>92</v>
      </c>
      <c r="F31" s="65">
        <v>58.270676691729292</v>
      </c>
      <c r="G31" s="60">
        <v>172.96976882039124</v>
      </c>
      <c r="H31" s="60">
        <v>93.885230479774222</v>
      </c>
      <c r="I31" s="60">
        <v>86.700507614213237</v>
      </c>
    </row>
    <row r="32" spans="1:9" ht="14" customHeight="1" x14ac:dyDescent="0.45">
      <c r="A32" s="1" t="s">
        <v>37</v>
      </c>
      <c r="B32" s="66">
        <v>131.68429003021149</v>
      </c>
      <c r="C32" s="66">
        <v>306.58021133525449</v>
      </c>
      <c r="D32" s="58">
        <v>420.47646057855923</v>
      </c>
      <c r="E32" s="85" t="s">
        <v>92</v>
      </c>
      <c r="F32" s="58">
        <v>360.0301659125189</v>
      </c>
      <c r="G32" s="58">
        <v>158.5924713584289</v>
      </c>
      <c r="H32" s="58">
        <v>457.35483870967749</v>
      </c>
      <c r="I32" s="66">
        <v>342.22222222222217</v>
      </c>
    </row>
    <row r="33" spans="1:9" ht="14" customHeight="1" x14ac:dyDescent="0.45">
      <c r="A33" s="105" t="s">
        <v>53</v>
      </c>
      <c r="B33" s="87" t="s">
        <v>92</v>
      </c>
      <c r="C33" s="60">
        <v>31.921024546424736</v>
      </c>
      <c r="D33" s="60">
        <v>48.868127919511295</v>
      </c>
      <c r="E33" s="60">
        <v>22.183987153016773</v>
      </c>
      <c r="F33" s="60">
        <v>44.789410348977142</v>
      </c>
      <c r="G33" s="60">
        <v>24.321736354931378</v>
      </c>
      <c r="H33" s="60">
        <v>37.411871730725444</v>
      </c>
      <c r="I33" s="60">
        <v>42.001680067202749</v>
      </c>
    </row>
    <row r="34" spans="1:9" ht="14" customHeight="1" x14ac:dyDescent="0.45">
      <c r="A34" s="1" t="s">
        <v>38</v>
      </c>
      <c r="B34" s="86" t="s">
        <v>92</v>
      </c>
      <c r="C34" s="58">
        <v>-3.1726662599145805</v>
      </c>
      <c r="D34" s="58">
        <v>-11.452682338758258</v>
      </c>
      <c r="E34" s="86" t="s">
        <v>92</v>
      </c>
      <c r="F34" s="58">
        <v>4.6767947572237123</v>
      </c>
      <c r="G34" s="58">
        <v>-16.306721669497669</v>
      </c>
      <c r="H34" s="58">
        <v>3.1832298136645676</v>
      </c>
      <c r="I34" s="58">
        <v>-1.0436693216149484</v>
      </c>
    </row>
    <row r="35" spans="1:9" ht="14" customHeight="1" x14ac:dyDescent="0.45">
      <c r="A35" s="105" t="s">
        <v>39</v>
      </c>
      <c r="B35" s="60">
        <v>18.366874855424477</v>
      </c>
      <c r="C35" s="60">
        <v>11.636863823933986</v>
      </c>
      <c r="D35" s="60">
        <v>33.996994740796382</v>
      </c>
      <c r="E35" s="60">
        <v>16.662046021624644</v>
      </c>
      <c r="F35" s="60">
        <v>28.744939271255056</v>
      </c>
      <c r="G35" s="60">
        <v>22.296819787985878</v>
      </c>
      <c r="H35" s="60">
        <v>12.238805970149279</v>
      </c>
      <c r="I35" s="60">
        <v>9.4420600858368999</v>
      </c>
    </row>
    <row r="36" spans="1:9" ht="14" customHeight="1" x14ac:dyDescent="0.45">
      <c r="A36" s="1" t="s">
        <v>40</v>
      </c>
      <c r="B36" s="137" t="s">
        <v>92</v>
      </c>
      <c r="C36" s="58">
        <v>16.467236467236511</v>
      </c>
      <c r="D36" s="58">
        <v>-2.3833167825223489</v>
      </c>
      <c r="E36" s="86" t="s">
        <v>92</v>
      </c>
      <c r="F36" s="85" t="s">
        <v>92</v>
      </c>
      <c r="G36" s="86" t="s">
        <v>92</v>
      </c>
      <c r="H36" s="58">
        <v>26.626240352811426</v>
      </c>
      <c r="I36" s="58">
        <v>16.56005685856432</v>
      </c>
    </row>
    <row r="37" spans="1:9" ht="14" customHeight="1" x14ac:dyDescent="0.45">
      <c r="A37" s="105" t="s">
        <v>54</v>
      </c>
      <c r="B37" s="84" t="s">
        <v>92</v>
      </c>
      <c r="C37" s="87" t="s">
        <v>92</v>
      </c>
      <c r="D37" s="60">
        <v>-4.1543026706231672</v>
      </c>
      <c r="E37" s="87" t="s">
        <v>92</v>
      </c>
      <c r="F37" s="60">
        <v>20.156939676311893</v>
      </c>
      <c r="G37" s="60">
        <v>46.721311475409877</v>
      </c>
      <c r="H37" s="60">
        <v>24.396782841823072</v>
      </c>
      <c r="I37" s="60">
        <v>27.819548872180476</v>
      </c>
    </row>
    <row r="38" spans="1:9" ht="14" customHeight="1" x14ac:dyDescent="0.45">
      <c r="A38" s="1" t="s">
        <v>41</v>
      </c>
      <c r="B38" s="58">
        <v>28.093645484949814</v>
      </c>
      <c r="C38" s="58">
        <v>54.322501532801979</v>
      </c>
      <c r="D38" s="58">
        <v>54.101838755304101</v>
      </c>
      <c r="E38" s="86" t="s">
        <v>92</v>
      </c>
      <c r="F38" s="86" t="s">
        <v>92</v>
      </c>
      <c r="G38" s="58">
        <v>25.36764705882355</v>
      </c>
      <c r="H38" s="86" t="s">
        <v>92</v>
      </c>
      <c r="I38" s="86" t="s">
        <v>92</v>
      </c>
    </row>
    <row r="39" spans="1:9" ht="14" customHeight="1" x14ac:dyDescent="0.45">
      <c r="A39" s="106" t="s">
        <v>42</v>
      </c>
      <c r="B39" s="64">
        <v>35.613415710503091</v>
      </c>
      <c r="C39" s="64">
        <v>20.955439582497014</v>
      </c>
      <c r="D39" s="64">
        <v>27.297056199821547</v>
      </c>
      <c r="E39" s="64">
        <v>15.366795366795349</v>
      </c>
      <c r="F39" s="64">
        <v>14.026095060577859</v>
      </c>
      <c r="G39" s="67">
        <v>40.940819423368758</v>
      </c>
      <c r="H39" s="64">
        <v>20.591182364729455</v>
      </c>
      <c r="I39" s="64">
        <v>52.091254752851725</v>
      </c>
    </row>
    <row r="40" spans="1:9" ht="14" customHeight="1" x14ac:dyDescent="0.45">
      <c r="A40" s="57" t="s">
        <v>43</v>
      </c>
      <c r="B40" s="138"/>
      <c r="C40" s="138"/>
      <c r="D40" s="138"/>
      <c r="E40" s="138"/>
      <c r="F40" s="138"/>
      <c r="G40" s="138"/>
      <c r="H40" s="138"/>
      <c r="I40" s="138"/>
    </row>
    <row r="41" spans="1:9" ht="14" customHeight="1" x14ac:dyDescent="0.45">
      <c r="A41" s="1" t="s">
        <v>44</v>
      </c>
      <c r="B41" s="85" t="s">
        <v>92</v>
      </c>
      <c r="C41" s="58">
        <v>-23.350735643094435</v>
      </c>
      <c r="D41" s="58">
        <v>-3.92677886034839</v>
      </c>
      <c r="E41" s="85" t="s">
        <v>92</v>
      </c>
      <c r="F41" s="58">
        <v>-14.178918514826799</v>
      </c>
      <c r="G41" s="58">
        <v>5.7438115837538994</v>
      </c>
      <c r="H41" s="58">
        <v>-22.811671087533149</v>
      </c>
      <c r="I41" s="62">
        <v>-5.244836388953356</v>
      </c>
    </row>
    <row r="42" spans="1:9" ht="14" customHeight="1" x14ac:dyDescent="0.45">
      <c r="A42" s="105" t="s">
        <v>45</v>
      </c>
      <c r="B42" s="60">
        <v>-37.890255439924324</v>
      </c>
      <c r="C42" s="60">
        <v>-36.028192371475953</v>
      </c>
      <c r="D42" s="60">
        <v>-34.450572761985562</v>
      </c>
      <c r="E42" s="60">
        <v>-39.3784589186888</v>
      </c>
      <c r="F42" s="60">
        <v>-43.905421932327762</v>
      </c>
      <c r="G42" s="87" t="s">
        <v>92</v>
      </c>
      <c r="H42" s="60">
        <v>-48.441396508728175</v>
      </c>
      <c r="I42" s="60">
        <v>-45.168967158495953</v>
      </c>
    </row>
    <row r="43" spans="1:9" ht="14" customHeight="1" x14ac:dyDescent="0.45">
      <c r="A43" s="1" t="s">
        <v>55</v>
      </c>
      <c r="B43" s="86" t="s">
        <v>92</v>
      </c>
      <c r="C43" s="58">
        <v>21.675421620127189</v>
      </c>
      <c r="D43" s="58">
        <v>19.452390682468334</v>
      </c>
      <c r="E43" s="58">
        <v>28.85811192764276</v>
      </c>
      <c r="F43" s="58">
        <v>31.118644067796609</v>
      </c>
      <c r="G43" s="58">
        <v>5.4355400696864287</v>
      </c>
      <c r="H43" s="58">
        <v>18.084066471163251</v>
      </c>
      <c r="I43" s="58">
        <v>24.653922214897818</v>
      </c>
    </row>
    <row r="44" spans="1:9" ht="14" customHeight="1" x14ac:dyDescent="0.45">
      <c r="A44" s="105" t="s">
        <v>46</v>
      </c>
      <c r="B44" s="60">
        <v>6.4622783288247776</v>
      </c>
      <c r="C44" s="60">
        <v>-36.567505720823789</v>
      </c>
      <c r="D44" s="60">
        <v>-38.651075381081647</v>
      </c>
      <c r="E44" s="60">
        <v>-3.1181789834711093E-2</v>
      </c>
      <c r="F44" s="60">
        <v>-23.252336448598133</v>
      </c>
      <c r="G44" s="60">
        <v>-42.438402718776537</v>
      </c>
      <c r="H44" s="60">
        <v>-16.89166941060256</v>
      </c>
      <c r="I44" s="60">
        <v>-24.333587204874306</v>
      </c>
    </row>
    <row r="45" spans="1:9" ht="14" customHeight="1" x14ac:dyDescent="0.45">
      <c r="A45" s="107" t="s">
        <v>47</v>
      </c>
      <c r="B45" s="69">
        <v>1.3173652694610682</v>
      </c>
      <c r="C45" s="69">
        <v>-31.63860103626941</v>
      </c>
      <c r="D45" s="69">
        <v>-26.629935720844834</v>
      </c>
      <c r="E45" s="69">
        <v>8.1441922563417979</v>
      </c>
      <c r="F45" s="69">
        <v>-46.153846153846153</v>
      </c>
      <c r="G45" s="69">
        <v>-28.417470221213868</v>
      </c>
      <c r="H45" s="69">
        <v>-34.68</v>
      </c>
      <c r="I45" s="69">
        <v>-48.992304873580075</v>
      </c>
    </row>
    <row r="46" spans="1:9" x14ac:dyDescent="0.45">
      <c r="A46" s="50"/>
      <c r="B46" s="58"/>
      <c r="C46" s="58"/>
      <c r="D46" s="58"/>
      <c r="E46" s="58"/>
      <c r="F46" s="58"/>
      <c r="G46" s="58"/>
      <c r="H46" s="58"/>
      <c r="I46" s="58"/>
    </row>
    <row r="47" spans="1:9" x14ac:dyDescent="0.45">
      <c r="A47" s="70" t="s">
        <v>12</v>
      </c>
      <c r="B47" s="71"/>
      <c r="C47" s="72"/>
      <c r="D47" s="72"/>
      <c r="E47" s="71"/>
      <c r="F47" s="72"/>
      <c r="G47" s="72"/>
      <c r="H47" s="72"/>
      <c r="I47" s="72"/>
    </row>
    <row r="48" spans="1:9" x14ac:dyDescent="0.45">
      <c r="A48" s="73" t="s">
        <v>57</v>
      </c>
      <c r="B48" s="73"/>
      <c r="C48" s="73"/>
      <c r="D48" s="73"/>
      <c r="E48" s="73"/>
      <c r="F48" s="73"/>
      <c r="G48" s="73"/>
      <c r="H48" s="73"/>
      <c r="I48" s="73"/>
    </row>
    <row r="49" spans="1:9" x14ac:dyDescent="0.45">
      <c r="A49" s="74" t="s">
        <v>14</v>
      </c>
      <c r="B49" s="71"/>
      <c r="C49" s="72"/>
      <c r="D49" s="72"/>
      <c r="E49" s="71"/>
      <c r="F49" s="72"/>
      <c r="G49" s="72"/>
      <c r="H49" s="72"/>
      <c r="I49" s="72"/>
    </row>
    <row r="50" spans="1:9" x14ac:dyDescent="0.45">
      <c r="A50" s="75" t="s">
        <v>15</v>
      </c>
      <c r="B50" s="76"/>
      <c r="C50" s="76"/>
      <c r="D50" s="76"/>
      <c r="E50" s="76"/>
      <c r="F50" s="76"/>
      <c r="G50" s="76"/>
      <c r="H50" s="76"/>
      <c r="I50" s="76"/>
    </row>
    <row r="51" spans="1:9" x14ac:dyDescent="0.45">
      <c r="A51" s="75"/>
      <c r="B51" s="6"/>
      <c r="C51" s="7"/>
      <c r="D51" s="6"/>
      <c r="E51" s="7"/>
      <c r="F51" s="6"/>
      <c r="G51" s="7"/>
      <c r="H51" s="6"/>
      <c r="I51" s="7"/>
    </row>
    <row r="52" spans="1:9" x14ac:dyDescent="0.45">
      <c r="A52" s="77" t="str">
        <f>+Índice!A14</f>
        <v>Fecha de actualización: 8 de septiembre de 2023</v>
      </c>
      <c r="B52" s="6"/>
      <c r="C52" s="7"/>
      <c r="D52" s="6"/>
      <c r="E52" s="7"/>
      <c r="F52" s="6"/>
      <c r="G52" s="7"/>
      <c r="H52" s="6"/>
      <c r="I52" s="7"/>
    </row>
    <row r="53" spans="1:9" x14ac:dyDescent="0.45">
      <c r="A53" s="75"/>
      <c r="B53" s="6"/>
      <c r="C53" s="7"/>
      <c r="D53" s="6"/>
      <c r="E53" s="7"/>
      <c r="F53" s="6"/>
      <c r="G53" s="7"/>
      <c r="H53" s="6"/>
      <c r="I53" s="7"/>
    </row>
    <row r="54" spans="1:9" x14ac:dyDescent="0.45">
      <c r="A54" s="75"/>
      <c r="B54" s="6"/>
      <c r="C54" s="7"/>
      <c r="D54" s="6"/>
      <c r="E54" s="7"/>
      <c r="F54" s="6"/>
      <c r="G54" s="7"/>
      <c r="H54" s="6"/>
      <c r="I54" s="7"/>
    </row>
    <row r="55" spans="1:9" x14ac:dyDescent="0.45">
      <c r="A55" s="75"/>
      <c r="B55" s="6"/>
      <c r="C55" s="7"/>
      <c r="D55" s="6"/>
      <c r="E55" s="7"/>
      <c r="F55" s="6"/>
      <c r="G55" s="7"/>
      <c r="H55" s="6"/>
      <c r="I55" s="7"/>
    </row>
  </sheetData>
  <mergeCells count="1">
    <mergeCell ref="A4:I5"/>
  </mergeCells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A5B01-133B-4735-A10B-A521B9ED8989}">
  <dimension ref="A1:I55"/>
  <sheetViews>
    <sheetView showGridLines="0" workbookViewId="0">
      <selection activeCell="A4" sqref="A4:I5"/>
    </sheetView>
  </sheetViews>
  <sheetFormatPr baseColWidth="10" defaultColWidth="11.453125" defaultRowHeight="16" x14ac:dyDescent="0.45"/>
  <cols>
    <col min="1" max="1" width="24.453125" style="56" customWidth="1"/>
    <col min="2" max="2" width="12" style="56" bestFit="1" customWidth="1"/>
    <col min="3" max="3" width="9.453125" style="56" customWidth="1"/>
    <col min="4" max="4" width="13.54296875" style="56" bestFit="1" customWidth="1"/>
    <col min="5" max="5" width="12" style="56" customWidth="1"/>
    <col min="6" max="6" width="10.26953125" style="56" customWidth="1"/>
    <col min="7" max="7" width="9.453125" style="56" customWidth="1"/>
    <col min="8" max="8" width="10.54296875" style="56" customWidth="1"/>
    <col min="9" max="9" width="9.26953125" style="56" customWidth="1"/>
    <col min="10" max="16384" width="11.453125" style="56"/>
  </cols>
  <sheetData>
    <row r="1" spans="1:9" s="50" customFormat="1" ht="18.5" customHeight="1" x14ac:dyDescent="0.4"/>
    <row r="2" spans="1:9" s="50" customFormat="1" ht="33" customHeight="1" x14ac:dyDescent="0.4"/>
    <row r="3" spans="1:9" s="50" customFormat="1" ht="19" customHeight="1" x14ac:dyDescent="0.4"/>
    <row r="4" spans="1:9" s="50" customFormat="1" ht="18.75" customHeight="1" x14ac:dyDescent="0.4">
      <c r="A4" s="149" t="s">
        <v>0</v>
      </c>
      <c r="B4" s="149"/>
      <c r="C4" s="149"/>
      <c r="D4" s="149"/>
      <c r="E4" s="149"/>
      <c r="F4" s="149"/>
      <c r="G4" s="149"/>
      <c r="H4" s="149"/>
      <c r="I4" s="149"/>
    </row>
    <row r="5" spans="1:9" s="50" customFormat="1" ht="27.75" customHeight="1" x14ac:dyDescent="0.4">
      <c r="A5" s="149"/>
      <c r="B5" s="149"/>
      <c r="C5" s="149"/>
      <c r="D5" s="149"/>
      <c r="E5" s="149"/>
      <c r="F5" s="149"/>
      <c r="G5" s="149"/>
      <c r="H5" s="149"/>
      <c r="I5" s="149"/>
    </row>
    <row r="6" spans="1:9" s="50" customFormat="1" ht="18.75" customHeight="1" x14ac:dyDescent="0.4">
      <c r="A6" s="51" t="s">
        <v>16</v>
      </c>
      <c r="B6" s="52"/>
      <c r="C6" s="52"/>
      <c r="D6" s="52"/>
      <c r="E6" s="52"/>
      <c r="F6" s="52"/>
      <c r="G6" s="52"/>
      <c r="H6" s="52"/>
      <c r="I6" s="52"/>
    </row>
    <row r="7" spans="1:9" s="50" customFormat="1" ht="15" customHeight="1" x14ac:dyDescent="0.4">
      <c r="A7" s="51" t="s">
        <v>90</v>
      </c>
      <c r="B7" s="52"/>
      <c r="C7" s="52"/>
      <c r="D7" s="52"/>
      <c r="E7" s="52"/>
      <c r="F7" s="52"/>
      <c r="G7" s="52"/>
      <c r="H7" s="52"/>
      <c r="I7" s="52"/>
    </row>
    <row r="8" spans="1:9" s="50" customFormat="1" ht="14" x14ac:dyDescent="0.4"/>
    <row r="9" spans="1:9" x14ac:dyDescent="0.45">
      <c r="A9" s="53" t="s">
        <v>51</v>
      </c>
      <c r="B9" s="78" t="s">
        <v>2</v>
      </c>
      <c r="C9" s="78" t="s">
        <v>3</v>
      </c>
      <c r="D9" s="78" t="s">
        <v>4</v>
      </c>
      <c r="E9" s="79" t="s">
        <v>5</v>
      </c>
      <c r="F9" s="78" t="s">
        <v>6</v>
      </c>
      <c r="G9" s="78" t="s">
        <v>7</v>
      </c>
      <c r="H9" s="78" t="s">
        <v>8</v>
      </c>
      <c r="I9" s="78" t="s">
        <v>9</v>
      </c>
    </row>
    <row r="10" spans="1:9" ht="14" customHeight="1" x14ac:dyDescent="0.45">
      <c r="A10" s="57" t="s">
        <v>17</v>
      </c>
      <c r="B10" s="57"/>
      <c r="C10" s="57"/>
      <c r="D10" s="57"/>
      <c r="E10" s="57"/>
      <c r="F10" s="57"/>
      <c r="G10" s="57"/>
      <c r="H10" s="57"/>
      <c r="I10" s="57"/>
    </row>
    <row r="11" spans="1:9" ht="14" customHeight="1" x14ac:dyDescent="0.45">
      <c r="A11" s="50" t="s">
        <v>18</v>
      </c>
      <c r="B11" s="86" t="s">
        <v>92</v>
      </c>
      <c r="C11" s="58">
        <v>-17.125524965002349</v>
      </c>
      <c r="D11" s="58">
        <v>0.69930069930070893</v>
      </c>
      <c r="E11" s="86" t="s">
        <v>92</v>
      </c>
      <c r="F11" s="58">
        <v>-13.839285714285721</v>
      </c>
      <c r="G11" s="58">
        <v>2.7944111776446956</v>
      </c>
      <c r="H11" s="58">
        <v>-14.848762603116406</v>
      </c>
      <c r="I11" s="58">
        <v>-12.646744930629673</v>
      </c>
    </row>
    <row r="12" spans="1:9" ht="14" customHeight="1" x14ac:dyDescent="0.45">
      <c r="A12" s="59" t="s">
        <v>19</v>
      </c>
      <c r="B12" s="60">
        <v>2.2094337683691512</v>
      </c>
      <c r="C12" s="60">
        <v>14.50127064803044</v>
      </c>
      <c r="D12" s="60">
        <v>70.034006801360277</v>
      </c>
      <c r="E12" s="84" t="s">
        <v>92</v>
      </c>
      <c r="F12" s="60">
        <v>35.183673469387713</v>
      </c>
      <c r="G12" s="60">
        <v>34.432234432234424</v>
      </c>
      <c r="H12" s="60">
        <v>13.871543264942044</v>
      </c>
      <c r="I12" s="135" t="s">
        <v>92</v>
      </c>
    </row>
    <row r="13" spans="1:9" ht="14" customHeight="1" x14ac:dyDescent="0.45">
      <c r="A13" s="50" t="s">
        <v>20</v>
      </c>
      <c r="B13" s="58">
        <v>15.031315240083497</v>
      </c>
      <c r="C13" s="58">
        <v>13.351498637602145</v>
      </c>
      <c r="D13" s="58">
        <v>5.139270302079213</v>
      </c>
      <c r="E13" s="58">
        <v>16.911250873515037</v>
      </c>
      <c r="F13" s="58">
        <v>31.311599696739979</v>
      </c>
      <c r="G13" s="58">
        <v>8.4888401024515439</v>
      </c>
      <c r="H13" s="58">
        <v>11.658870097157227</v>
      </c>
      <c r="I13" s="58">
        <v>14.29105873550316</v>
      </c>
    </row>
    <row r="14" spans="1:9" ht="14" customHeight="1" x14ac:dyDescent="0.45">
      <c r="A14" s="59" t="s">
        <v>21</v>
      </c>
      <c r="B14" s="61">
        <v>-9.8081952920662463</v>
      </c>
      <c r="C14" s="60">
        <v>55.454184847282818</v>
      </c>
      <c r="D14" s="60">
        <v>-5.6704075605434117</v>
      </c>
      <c r="E14" s="84" t="s">
        <v>92</v>
      </c>
      <c r="F14" s="65">
        <v>31.53232949512843</v>
      </c>
      <c r="G14" s="60">
        <v>-13.467492260061908</v>
      </c>
      <c r="H14" s="60">
        <v>-21.234876929495183</v>
      </c>
      <c r="I14" s="60">
        <v>-10.581395348837185</v>
      </c>
    </row>
    <row r="15" spans="1:9" ht="14" customHeight="1" x14ac:dyDescent="0.45">
      <c r="A15" s="50" t="s">
        <v>22</v>
      </c>
      <c r="B15" s="86" t="s">
        <v>92</v>
      </c>
      <c r="C15" s="58">
        <v>4.5454545454545636</v>
      </c>
      <c r="D15" s="58">
        <v>-14.535345512311393</v>
      </c>
      <c r="E15" s="58">
        <v>-55.690765926986408</v>
      </c>
      <c r="F15" s="58">
        <v>4.8305084745762894</v>
      </c>
      <c r="G15" s="58">
        <v>5.2671755725191005</v>
      </c>
      <c r="H15" s="58">
        <v>-1.1206328279498967</v>
      </c>
      <c r="I15" s="85" t="s">
        <v>92</v>
      </c>
    </row>
    <row r="16" spans="1:9" ht="14" customHeight="1" x14ac:dyDescent="0.45">
      <c r="A16" s="59" t="s">
        <v>23</v>
      </c>
      <c r="B16" s="60">
        <v>-15.630736952530844</v>
      </c>
      <c r="C16" s="60">
        <v>-45.626477541371166</v>
      </c>
      <c r="D16" s="60">
        <v>-31.237021655295173</v>
      </c>
      <c r="E16" s="60">
        <v>-19.132867132867169</v>
      </c>
      <c r="F16" s="60">
        <v>14.460020768431958</v>
      </c>
      <c r="G16" s="60">
        <v>-15.080058224163007</v>
      </c>
      <c r="H16" s="60">
        <v>-23.81540997115783</v>
      </c>
      <c r="I16" s="60">
        <v>-12.404125892620998</v>
      </c>
    </row>
    <row r="17" spans="1:9" ht="14" customHeight="1" x14ac:dyDescent="0.45">
      <c r="A17" s="50" t="s">
        <v>24</v>
      </c>
      <c r="B17" s="58">
        <v>-51.225056832533468</v>
      </c>
      <c r="C17" s="58">
        <v>-57.022274325908541</v>
      </c>
      <c r="D17" s="58">
        <v>-36.353425683264682</v>
      </c>
      <c r="E17" s="58">
        <v>-43.209876543209866</v>
      </c>
      <c r="F17" s="58">
        <v>-38.019169329073499</v>
      </c>
      <c r="G17" s="58">
        <v>0.98360655737705915</v>
      </c>
      <c r="H17" s="58">
        <v>-51.508620689655181</v>
      </c>
      <c r="I17" s="58">
        <v>-35.547634478289034</v>
      </c>
    </row>
    <row r="18" spans="1:9" ht="14" customHeight="1" x14ac:dyDescent="0.45">
      <c r="A18" s="59" t="s">
        <v>25</v>
      </c>
      <c r="B18" s="60">
        <v>62.065637065637034</v>
      </c>
      <c r="C18" s="60">
        <v>71.57296272899552</v>
      </c>
      <c r="D18" s="60">
        <v>39.256572982774252</v>
      </c>
      <c r="E18" s="60">
        <v>40.400000000000077</v>
      </c>
      <c r="F18" s="60">
        <v>65.20894071914482</v>
      </c>
      <c r="G18" s="60">
        <v>96.086956521739225</v>
      </c>
      <c r="H18" s="60">
        <v>62.102473498233259</v>
      </c>
      <c r="I18" s="60">
        <v>56.999226604795041</v>
      </c>
    </row>
    <row r="19" spans="1:9" ht="14" customHeight="1" x14ac:dyDescent="0.45">
      <c r="A19" s="50" t="s">
        <v>26</v>
      </c>
      <c r="B19" s="58">
        <v>-19.322033898305069</v>
      </c>
      <c r="C19" s="58">
        <v>-33.958259639193521</v>
      </c>
      <c r="D19" s="58">
        <v>-31.557247066286099</v>
      </c>
      <c r="E19" s="58">
        <v>-38.587137620793101</v>
      </c>
      <c r="F19" s="58">
        <v>-16.666666666666696</v>
      </c>
      <c r="G19" s="58">
        <v>-23.813595553655411</v>
      </c>
      <c r="H19" s="58">
        <v>-30.805134189031481</v>
      </c>
      <c r="I19" s="58">
        <v>-17.872161480235484</v>
      </c>
    </row>
    <row r="20" spans="1:9" ht="14" customHeight="1" x14ac:dyDescent="0.45">
      <c r="A20" s="59" t="s">
        <v>27</v>
      </c>
      <c r="B20" s="60">
        <v>-68.392434988179659</v>
      </c>
      <c r="C20" s="60">
        <v>-83.260813923726644</v>
      </c>
      <c r="D20" s="60">
        <v>-60.905840286054833</v>
      </c>
      <c r="E20" s="60">
        <v>-69.826469826469818</v>
      </c>
      <c r="F20" s="60">
        <v>-68.188512518409439</v>
      </c>
      <c r="G20" s="60">
        <v>-73.308650286098967</v>
      </c>
      <c r="H20" s="60">
        <v>-78.063048423789411</v>
      </c>
      <c r="I20" s="88">
        <v>-68.601926581619367</v>
      </c>
    </row>
    <row r="21" spans="1:9" ht="14" customHeight="1" x14ac:dyDescent="0.45">
      <c r="A21" s="50" t="s">
        <v>28</v>
      </c>
      <c r="B21" s="58">
        <v>45.200486026731504</v>
      </c>
      <c r="C21" s="58">
        <v>47.310958350181977</v>
      </c>
      <c r="D21" s="58">
        <v>67.71844660194175</v>
      </c>
      <c r="E21" s="86" t="s">
        <v>92</v>
      </c>
      <c r="F21" s="58">
        <v>57.903357903357943</v>
      </c>
      <c r="G21" s="62">
        <v>65.122377622377556</v>
      </c>
      <c r="H21" s="58">
        <v>39.157119476268363</v>
      </c>
      <c r="I21" s="58">
        <v>32.16216216216219</v>
      </c>
    </row>
    <row r="22" spans="1:9" ht="14" customHeight="1" x14ac:dyDescent="0.45">
      <c r="A22" s="63" t="s">
        <v>29</v>
      </c>
      <c r="B22" s="134" t="s">
        <v>92</v>
      </c>
      <c r="C22" s="64">
        <v>-14.103219213081209</v>
      </c>
      <c r="D22" s="64">
        <v>-21.530553969160483</v>
      </c>
      <c r="E22" s="64">
        <v>-14.428969359331479</v>
      </c>
      <c r="F22" s="64">
        <v>-9.7807757166947447</v>
      </c>
      <c r="G22" s="64">
        <v>-28.591450595655221</v>
      </c>
      <c r="H22" s="64">
        <v>-77.94784580498866</v>
      </c>
      <c r="I22" s="89">
        <v>-26.732186732186737</v>
      </c>
    </row>
    <row r="23" spans="1:9" ht="14" customHeight="1" x14ac:dyDescent="0.45">
      <c r="A23" s="57" t="s">
        <v>30</v>
      </c>
      <c r="B23" s="138"/>
      <c r="C23" s="138"/>
      <c r="D23" s="138"/>
      <c r="E23" s="138"/>
      <c r="F23" s="138"/>
      <c r="G23" s="138"/>
      <c r="H23" s="138"/>
      <c r="I23" s="138"/>
    </row>
    <row r="24" spans="1:9" ht="14" customHeight="1" x14ac:dyDescent="0.45">
      <c r="A24" s="50" t="s">
        <v>49</v>
      </c>
      <c r="B24" s="137" t="s">
        <v>92</v>
      </c>
      <c r="C24" s="58">
        <v>5.5980528511822003</v>
      </c>
      <c r="D24" s="137" t="s">
        <v>92</v>
      </c>
      <c r="E24" s="86" t="s">
        <v>92</v>
      </c>
      <c r="F24" s="62">
        <v>3.6652412950519242</v>
      </c>
      <c r="G24" s="85" t="s">
        <v>92</v>
      </c>
      <c r="H24" s="58">
        <v>9.9352051835852819</v>
      </c>
      <c r="I24" s="62">
        <v>15.125240847784237</v>
      </c>
    </row>
    <row r="25" spans="1:9" ht="14" customHeight="1" x14ac:dyDescent="0.45">
      <c r="A25" s="59" t="s">
        <v>31</v>
      </c>
      <c r="B25" s="60">
        <v>10.744891232696109</v>
      </c>
      <c r="C25" s="60">
        <v>-0.76818798011750733</v>
      </c>
      <c r="D25" s="60">
        <v>9.1212458286985765</v>
      </c>
      <c r="E25" s="84" t="s">
        <v>92</v>
      </c>
      <c r="F25" s="60">
        <v>11.816340310600948</v>
      </c>
      <c r="G25" s="60">
        <v>-11.125158027812887</v>
      </c>
      <c r="H25" s="60">
        <v>11.03225806451611</v>
      </c>
      <c r="I25" s="60">
        <v>2.9369627507163321</v>
      </c>
    </row>
    <row r="26" spans="1:9" ht="14" customHeight="1" x14ac:dyDescent="0.45">
      <c r="A26" s="50" t="s">
        <v>32</v>
      </c>
      <c r="B26" s="62">
        <v>12.964426877470325</v>
      </c>
      <c r="C26" s="58">
        <v>66.727748691099521</v>
      </c>
      <c r="D26" s="86" t="s">
        <v>92</v>
      </c>
      <c r="E26" s="58">
        <v>27.091923356779056</v>
      </c>
      <c r="F26" s="58">
        <v>60.675009480470202</v>
      </c>
      <c r="G26" s="86" t="s">
        <v>92</v>
      </c>
      <c r="H26" s="58">
        <v>71.629901960784252</v>
      </c>
      <c r="I26" s="62">
        <v>53.447717707996148</v>
      </c>
    </row>
    <row r="27" spans="1:9" ht="14" customHeight="1" x14ac:dyDescent="0.45">
      <c r="A27" s="59" t="s">
        <v>33</v>
      </c>
      <c r="B27" s="84" t="s">
        <v>92</v>
      </c>
      <c r="C27" s="60">
        <v>-8.9055949110886328</v>
      </c>
      <c r="D27" s="60">
        <v>-8.7515762925598484</v>
      </c>
      <c r="E27" s="87" t="s">
        <v>92</v>
      </c>
      <c r="F27" s="65">
        <v>7.402578589019293</v>
      </c>
      <c r="G27" s="135" t="s">
        <v>92</v>
      </c>
      <c r="H27" s="60">
        <v>-21.509269988412516</v>
      </c>
      <c r="I27" s="60">
        <v>-30.774889651790083</v>
      </c>
    </row>
    <row r="28" spans="1:9" ht="14" customHeight="1" x14ac:dyDescent="0.45">
      <c r="A28" s="50" t="s">
        <v>34</v>
      </c>
      <c r="B28" s="58">
        <v>40.007137758743781</v>
      </c>
      <c r="C28" s="58">
        <v>0.69930069930068672</v>
      </c>
      <c r="D28" s="58">
        <v>73.721973094170394</v>
      </c>
      <c r="E28" s="58">
        <v>14.141753443063433</v>
      </c>
      <c r="F28" s="62">
        <v>2.6548672566371945</v>
      </c>
      <c r="G28" s="58">
        <v>68.885191347753675</v>
      </c>
      <c r="H28" s="58">
        <v>26.40449438202246</v>
      </c>
      <c r="I28" s="58">
        <v>16.763285024154584</v>
      </c>
    </row>
    <row r="29" spans="1:9" ht="14" customHeight="1" x14ac:dyDescent="0.45">
      <c r="A29" s="59" t="s">
        <v>52</v>
      </c>
      <c r="B29" s="65">
        <v>32.776988636363669</v>
      </c>
      <c r="C29" s="135" t="s">
        <v>92</v>
      </c>
      <c r="D29" s="60">
        <v>3.1574199368515909</v>
      </c>
      <c r="E29" s="60">
        <v>0.71754729288970864</v>
      </c>
      <c r="F29" s="87" t="s">
        <v>92</v>
      </c>
      <c r="G29" s="65">
        <v>-15.213946117274158</v>
      </c>
      <c r="H29" s="60">
        <v>9.7600518806744585</v>
      </c>
      <c r="I29" s="60">
        <v>3.6286664650740708</v>
      </c>
    </row>
    <row r="30" spans="1:9" ht="14" customHeight="1" x14ac:dyDescent="0.45">
      <c r="A30" s="50" t="s">
        <v>35</v>
      </c>
      <c r="B30" s="58">
        <v>-13.663003663003682</v>
      </c>
      <c r="C30" s="58">
        <v>-25.813642443156514</v>
      </c>
      <c r="D30" s="58">
        <v>-20.476954826874561</v>
      </c>
      <c r="E30" s="58">
        <v>-9.9465444826269405</v>
      </c>
      <c r="F30" s="58">
        <v>-22.408829174664113</v>
      </c>
      <c r="G30" s="58">
        <v>-6.3225058004640182</v>
      </c>
      <c r="H30" s="58">
        <v>-26.005888125613343</v>
      </c>
      <c r="I30" s="58">
        <v>-4.5766590389016315</v>
      </c>
    </row>
    <row r="31" spans="1:9" ht="14" customHeight="1" x14ac:dyDescent="0.45">
      <c r="A31" s="59" t="s">
        <v>36</v>
      </c>
      <c r="B31" s="60">
        <v>18.88544891640873</v>
      </c>
      <c r="C31" s="60">
        <v>19.19070512820511</v>
      </c>
      <c r="D31" s="60">
        <v>10.006518904823981</v>
      </c>
      <c r="E31" s="135" t="s">
        <v>92</v>
      </c>
      <c r="F31" s="65">
        <v>9.2796885139519567</v>
      </c>
      <c r="G31" s="60">
        <v>23.326191751472969</v>
      </c>
      <c r="H31" s="60">
        <v>11.677052289352474</v>
      </c>
      <c r="I31" s="60">
        <v>26.174957118353383</v>
      </c>
    </row>
    <row r="32" spans="1:9" ht="14" customHeight="1" x14ac:dyDescent="0.45">
      <c r="A32" s="50" t="s">
        <v>37</v>
      </c>
      <c r="B32" s="66">
        <v>11.626637554585129</v>
      </c>
      <c r="C32" s="66">
        <v>2.630940834141593</v>
      </c>
      <c r="D32" s="58">
        <v>21.810699588477345</v>
      </c>
      <c r="E32" s="85" t="s">
        <v>92</v>
      </c>
      <c r="F32" s="58">
        <v>14.964191481341892</v>
      </c>
      <c r="G32" s="58">
        <v>22.314689374879059</v>
      </c>
      <c r="H32" s="58">
        <v>12.957635983263604</v>
      </c>
      <c r="I32" s="58">
        <v>12.296587926509162</v>
      </c>
    </row>
    <row r="33" spans="1:9" ht="14" customHeight="1" x14ac:dyDescent="0.45">
      <c r="A33" s="59" t="s">
        <v>53</v>
      </c>
      <c r="B33" s="135" t="s">
        <v>92</v>
      </c>
      <c r="C33" s="60">
        <v>49.685153790263989</v>
      </c>
      <c r="D33" s="60">
        <v>44.221397075887658</v>
      </c>
      <c r="E33" s="60">
        <v>24.062427207081338</v>
      </c>
      <c r="F33" s="60">
        <v>91.714467813894117</v>
      </c>
      <c r="G33" s="60">
        <v>44.294887626574479</v>
      </c>
      <c r="H33" s="60">
        <v>57.507820646506723</v>
      </c>
      <c r="I33" s="60">
        <v>62.40735657425207</v>
      </c>
    </row>
    <row r="34" spans="1:9" ht="14" customHeight="1" x14ac:dyDescent="0.45">
      <c r="A34" s="50" t="s">
        <v>38</v>
      </c>
      <c r="B34" s="86" t="s">
        <v>92</v>
      </c>
      <c r="C34" s="58">
        <v>1.5355086372361049</v>
      </c>
      <c r="D34" s="58">
        <v>-0.67613252197428197</v>
      </c>
      <c r="E34" s="86" t="s">
        <v>92</v>
      </c>
      <c r="F34" s="58">
        <v>11.555555555555564</v>
      </c>
      <c r="G34" s="58">
        <v>3.6046860919195067</v>
      </c>
      <c r="H34" s="58">
        <v>3.6257309941519988</v>
      </c>
      <c r="I34" s="58">
        <v>11.824953445065178</v>
      </c>
    </row>
    <row r="35" spans="1:9" ht="14" customHeight="1" x14ac:dyDescent="0.45">
      <c r="A35" s="59" t="s">
        <v>39</v>
      </c>
      <c r="B35" s="60">
        <v>5.3314121037463913</v>
      </c>
      <c r="C35" s="60">
        <v>-13.879456706281834</v>
      </c>
      <c r="D35" s="60">
        <v>-7.9721362229102315</v>
      </c>
      <c r="E35" s="60">
        <v>-4.7748359357320354</v>
      </c>
      <c r="F35" s="60">
        <v>0.57986294148653084</v>
      </c>
      <c r="G35" s="60">
        <v>7.0191713048856075</v>
      </c>
      <c r="H35" s="60">
        <v>-28.124253285543599</v>
      </c>
      <c r="I35" s="60">
        <v>-0.73276849095488261</v>
      </c>
    </row>
    <row r="36" spans="1:9" ht="14" customHeight="1" x14ac:dyDescent="0.45">
      <c r="A36" s="50" t="s">
        <v>40</v>
      </c>
      <c r="B36" s="137" t="s">
        <v>92</v>
      </c>
      <c r="C36" s="58">
        <v>12.431243124312473</v>
      </c>
      <c r="D36" s="58">
        <v>-0.80726538849645868</v>
      </c>
      <c r="E36" s="86" t="s">
        <v>92</v>
      </c>
      <c r="F36" s="85" t="s">
        <v>92</v>
      </c>
      <c r="G36" s="86" t="s">
        <v>92</v>
      </c>
      <c r="H36" s="58">
        <v>16.895674300254427</v>
      </c>
      <c r="I36" s="58">
        <v>0.42865890998160516</v>
      </c>
    </row>
    <row r="37" spans="1:9" ht="14" customHeight="1" x14ac:dyDescent="0.45">
      <c r="A37" s="59" t="s">
        <v>54</v>
      </c>
      <c r="B37" s="84" t="s">
        <v>92</v>
      </c>
      <c r="C37" s="87" t="s">
        <v>92</v>
      </c>
      <c r="D37" s="60">
        <v>13.532513181019311</v>
      </c>
      <c r="E37" s="87" t="s">
        <v>92</v>
      </c>
      <c r="F37" s="60">
        <v>2.6823134953897654</v>
      </c>
      <c r="G37" s="60">
        <v>51.242544731610387</v>
      </c>
      <c r="H37" s="60">
        <v>17.638536762042744</v>
      </c>
      <c r="I37" s="60">
        <v>15.020297699594076</v>
      </c>
    </row>
    <row r="38" spans="1:9" ht="14" customHeight="1" x14ac:dyDescent="0.45">
      <c r="A38" s="50" t="s">
        <v>41</v>
      </c>
      <c r="B38" s="58">
        <v>81.731909845788834</v>
      </c>
      <c r="C38" s="58">
        <v>145.32163742690059</v>
      </c>
      <c r="D38" s="58">
        <v>123.25819672131146</v>
      </c>
      <c r="E38" s="86" t="s">
        <v>92</v>
      </c>
      <c r="F38" s="86" t="s">
        <v>92</v>
      </c>
      <c r="G38" s="58">
        <v>101.26475548060702</v>
      </c>
      <c r="H38" s="86" t="s">
        <v>92</v>
      </c>
      <c r="I38" s="86" t="s">
        <v>92</v>
      </c>
    </row>
    <row r="39" spans="1:9" ht="14" customHeight="1" x14ac:dyDescent="0.45">
      <c r="A39" s="63" t="s">
        <v>42</v>
      </c>
      <c r="B39" s="64">
        <v>-7.4676302318578802</v>
      </c>
      <c r="C39" s="64">
        <v>-8.2241851964666264</v>
      </c>
      <c r="D39" s="64">
        <v>-16.451990632318527</v>
      </c>
      <c r="E39" s="64">
        <v>-15.736040609137081</v>
      </c>
      <c r="F39" s="64">
        <v>-22.292791362337205</v>
      </c>
      <c r="G39" s="67">
        <v>31.371994342291408</v>
      </c>
      <c r="H39" s="64">
        <v>-20.112844341188175</v>
      </c>
      <c r="I39" s="64">
        <v>2.7287319422150791</v>
      </c>
    </row>
    <row r="40" spans="1:9" ht="14" customHeight="1" x14ac:dyDescent="0.45">
      <c r="A40" s="57" t="s">
        <v>43</v>
      </c>
      <c r="B40" s="138"/>
      <c r="C40" s="138"/>
      <c r="D40" s="138"/>
      <c r="E40" s="138"/>
      <c r="F40" s="138"/>
      <c r="G40" s="138"/>
      <c r="H40" s="138"/>
      <c r="I40" s="138"/>
    </row>
    <row r="41" spans="1:9" ht="14" customHeight="1" x14ac:dyDescent="0.45">
      <c r="A41" s="50" t="s">
        <v>44</v>
      </c>
      <c r="B41" s="85" t="s">
        <v>92</v>
      </c>
      <c r="C41" s="58">
        <v>9.8639455782313146</v>
      </c>
      <c r="D41" s="58">
        <v>73.361747469366009</v>
      </c>
      <c r="E41" s="85" t="s">
        <v>92</v>
      </c>
      <c r="F41" s="58">
        <v>16.983695652173903</v>
      </c>
      <c r="G41" s="58">
        <v>85.889311364596452</v>
      </c>
      <c r="H41" s="58">
        <v>7.3496027241770845</v>
      </c>
      <c r="I41" s="62">
        <v>21.33729569093612</v>
      </c>
    </row>
    <row r="42" spans="1:9" ht="14" customHeight="1" x14ac:dyDescent="0.45">
      <c r="A42" s="59" t="s">
        <v>45</v>
      </c>
      <c r="B42" s="60">
        <v>27.599611273080637</v>
      </c>
      <c r="C42" s="60">
        <v>39.764492753623195</v>
      </c>
      <c r="D42" s="60">
        <v>55.120481927710841</v>
      </c>
      <c r="E42" s="60">
        <v>27.598566308243754</v>
      </c>
      <c r="F42" s="60">
        <v>66.585956416464896</v>
      </c>
      <c r="G42" s="87" t="s">
        <v>92</v>
      </c>
      <c r="H42" s="60">
        <v>9.1749174917491914</v>
      </c>
      <c r="I42" s="60">
        <v>34.265734265734274</v>
      </c>
    </row>
    <row r="43" spans="1:9" ht="14" customHeight="1" x14ac:dyDescent="0.45">
      <c r="A43" s="50" t="s">
        <v>55</v>
      </c>
      <c r="B43" s="86" t="s">
        <v>92</v>
      </c>
      <c r="C43" s="58">
        <v>42.704280155641982</v>
      </c>
      <c r="D43" s="58">
        <v>53.518907563025245</v>
      </c>
      <c r="E43" s="58">
        <v>47.159457714654643</v>
      </c>
      <c r="F43" s="58">
        <v>159.7716588314305</v>
      </c>
      <c r="G43" s="58">
        <v>55.259107234479266</v>
      </c>
      <c r="H43" s="58">
        <v>54.67349551856595</v>
      </c>
      <c r="I43" s="58">
        <v>61.970021413276235</v>
      </c>
    </row>
    <row r="44" spans="1:9" ht="14" customHeight="1" x14ac:dyDescent="0.45">
      <c r="A44" s="59" t="s">
        <v>46</v>
      </c>
      <c r="B44" s="60">
        <v>27.639639639639668</v>
      </c>
      <c r="C44" s="60">
        <v>-6.7921990585070313</v>
      </c>
      <c r="D44" s="60">
        <v>6.0267051605918498</v>
      </c>
      <c r="E44" s="60">
        <v>24.408226620100915</v>
      </c>
      <c r="F44" s="60">
        <v>7.430664573521728</v>
      </c>
      <c r="G44" s="60">
        <v>-14.050111005391663</v>
      </c>
      <c r="H44" s="60">
        <v>27.217741935483897</v>
      </c>
      <c r="I44" s="60">
        <v>6.8854222700377221</v>
      </c>
    </row>
    <row r="45" spans="1:9" ht="14" customHeight="1" x14ac:dyDescent="0.45">
      <c r="A45" s="68" t="s">
        <v>47</v>
      </c>
      <c r="B45" s="69">
        <v>-39.202299676607986</v>
      </c>
      <c r="C45" s="69">
        <v>-42.495232906564951</v>
      </c>
      <c r="D45" s="69">
        <v>-17.685439560439576</v>
      </c>
      <c r="E45" s="69">
        <v>-38.049713193116631</v>
      </c>
      <c r="F45" s="69">
        <v>-49.419953596287691</v>
      </c>
      <c r="G45" s="69">
        <v>-33.103631062814763</v>
      </c>
      <c r="H45" s="69">
        <v>-46.529142108709898</v>
      </c>
      <c r="I45" s="69">
        <v>-55.541360587671676</v>
      </c>
    </row>
    <row r="46" spans="1:9" x14ac:dyDescent="0.45">
      <c r="A46" s="70"/>
      <c r="B46" s="80"/>
      <c r="C46" s="80"/>
      <c r="D46" s="80"/>
      <c r="E46" s="80"/>
      <c r="F46" s="80"/>
      <c r="G46" s="80"/>
      <c r="H46" s="80"/>
      <c r="I46" s="80"/>
    </row>
    <row r="47" spans="1:9" x14ac:dyDescent="0.45">
      <c r="A47" s="70" t="s">
        <v>12</v>
      </c>
      <c r="B47" s="71"/>
      <c r="C47" s="72"/>
      <c r="D47" s="72"/>
      <c r="E47" s="71"/>
      <c r="F47" s="72"/>
      <c r="G47" s="72"/>
      <c r="H47" s="72"/>
      <c r="I47" s="72"/>
    </row>
    <row r="48" spans="1:9" x14ac:dyDescent="0.45">
      <c r="A48" s="73" t="s">
        <v>56</v>
      </c>
      <c r="B48" s="73"/>
      <c r="C48" s="73"/>
      <c r="D48" s="73"/>
      <c r="E48" s="73"/>
      <c r="F48" s="73"/>
      <c r="G48" s="73"/>
      <c r="H48" s="73"/>
      <c r="I48" s="73"/>
    </row>
    <row r="49" spans="1:9" x14ac:dyDescent="0.45">
      <c r="A49" s="74" t="s">
        <v>14</v>
      </c>
      <c r="B49" s="71"/>
      <c r="C49" s="72"/>
      <c r="D49" s="72"/>
      <c r="E49" s="71"/>
      <c r="F49" s="72"/>
      <c r="G49" s="72"/>
      <c r="H49" s="72"/>
      <c r="I49" s="72"/>
    </row>
    <row r="50" spans="1:9" x14ac:dyDescent="0.45">
      <c r="A50" s="75" t="s">
        <v>15</v>
      </c>
      <c r="B50" s="76"/>
      <c r="C50" s="76"/>
      <c r="D50" s="76"/>
      <c r="E50" s="76"/>
      <c r="F50" s="76"/>
      <c r="G50" s="76"/>
      <c r="H50" s="76"/>
      <c r="I50" s="76"/>
    </row>
    <row r="51" spans="1:9" x14ac:dyDescent="0.45">
      <c r="A51" s="75"/>
      <c r="B51" s="6"/>
      <c r="C51" s="7"/>
      <c r="D51" s="6"/>
      <c r="E51" s="7"/>
      <c r="F51" s="6"/>
      <c r="G51" s="7"/>
      <c r="H51" s="6"/>
      <c r="I51" s="7"/>
    </row>
    <row r="52" spans="1:9" x14ac:dyDescent="0.45">
      <c r="A52" s="77" t="str">
        <f>+Índice!A14</f>
        <v>Fecha de actualización: 8 de septiembre de 2023</v>
      </c>
      <c r="B52" s="6"/>
      <c r="C52" s="7"/>
      <c r="D52" s="6"/>
      <c r="E52" s="7"/>
      <c r="F52" s="6"/>
      <c r="G52" s="7"/>
      <c r="H52" s="6"/>
      <c r="I52" s="7"/>
    </row>
    <row r="53" spans="1:9" x14ac:dyDescent="0.45">
      <c r="A53" s="75"/>
      <c r="B53" s="6"/>
      <c r="C53" s="7"/>
      <c r="D53" s="6"/>
      <c r="E53" s="7"/>
      <c r="F53" s="6"/>
      <c r="G53" s="7"/>
      <c r="H53" s="6"/>
      <c r="I53" s="7"/>
    </row>
    <row r="54" spans="1:9" x14ac:dyDescent="0.45">
      <c r="A54" s="75"/>
      <c r="B54" s="6"/>
      <c r="C54" s="7"/>
      <c r="D54" s="6"/>
      <c r="E54" s="7"/>
      <c r="F54" s="6"/>
      <c r="G54" s="7"/>
      <c r="H54" s="6"/>
      <c r="I54" s="7"/>
    </row>
    <row r="55" spans="1:9" x14ac:dyDescent="0.45">
      <c r="A55" s="75"/>
      <c r="B55" s="6"/>
      <c r="C55" s="7"/>
      <c r="D55" s="6"/>
      <c r="E55" s="7"/>
      <c r="F55" s="6"/>
      <c r="G55" s="7"/>
      <c r="H55" s="6"/>
      <c r="I55" s="7"/>
    </row>
  </sheetData>
  <mergeCells count="1">
    <mergeCell ref="A4:I5"/>
  </mergeCells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Índice</vt:lpstr>
      <vt:lpstr>Anexo 1</vt:lpstr>
      <vt:lpstr>Anexo 2</vt:lpstr>
      <vt:lpstr>Anexo 3</vt:lpstr>
    </vt:vector>
  </TitlesOfParts>
  <Company>DANE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LMChaparroC</dc:creator>
  <cp:lastModifiedBy>Elsa Beatriz Hernandez Gomez</cp:lastModifiedBy>
  <cp:lastPrinted>2018-10-02T21:35:14Z</cp:lastPrinted>
  <dcterms:created xsi:type="dcterms:W3CDTF">2007-01-25T17:17:56Z</dcterms:created>
  <dcterms:modified xsi:type="dcterms:W3CDTF">2023-09-04T14:21:18Z</dcterms:modified>
</cp:coreProperties>
</file>