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4\Octubre\"/>
    </mc:Choice>
  </mc:AlternateContent>
  <xr:revisionPtr revIDLastSave="0" documentId="13_ncr:1_{318CBECC-5425-402F-B366-5E0A4167ACC1}" xr6:coauthVersionLast="47" xr6:coauthVersionMax="47" xr10:uidLastSave="{00000000-0000-0000-0000-000000000000}"/>
  <bookViews>
    <workbookView xWindow="-110" yWindow="-110" windowWidth="19420" windowHeight="10420" tabRatio="815" xr2:uid="{00000000-000D-0000-FFFF-FFFF00000000}"/>
  </bookViews>
  <sheets>
    <sheet name="Índice" sheetId="519" r:id="rId1"/>
    <sheet name="1" sheetId="520" r:id="rId2"/>
    <sheet name="2" sheetId="521" r:id="rId3"/>
    <sheet name="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B12" i="519" s="1"/>
  <c r="A7" i="521"/>
  <c r="B11" i="519" s="1"/>
  <c r="A7" i="520"/>
  <c r="B10" i="519" s="1"/>
  <c r="A82" i="520"/>
  <c r="A54" i="521"/>
  <c r="A54" i="522"/>
</calcChain>
</file>

<file path=xl/sharedStrings.xml><?xml version="1.0" encoding="utf-8"?>
<sst xmlns="http://schemas.openxmlformats.org/spreadsheetml/2006/main" count="373" uniqueCount="95">
  <si>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</si>
  <si>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</si>
  <si>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</si>
  <si>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</si>
  <si>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</si>
  <si>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</si>
  <si>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</si>
  <si>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</si>
  <si>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</si>
  <si>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</si>
  <si>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</si>
  <si>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</si>
  <si>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</si>
  <si>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</si>
  <si>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</si>
  <si>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</si>
  <si>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</si>
  <si>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</si>
  <si>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</si>
  <si>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</si>
  <si>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</si>
  <si>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</si>
  <si>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</si>
  <si>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</si>
  <si>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</si>
  <si>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</si>
  <si>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</si>
  <si>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</si>
  <si>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</si>
  <si>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</si>
  <si>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</si>
  <si>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</si>
  <si>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</si>
  <si>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</si>
  <si>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</si>
  <si>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</si>
  <si>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</si>
  <si>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</si>
  <si>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</si>
  <si>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</si>
  <si>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</si>
  <si>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</si>
  <si>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</si>
  <si>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</si>
  <si>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</si>
  <si>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</si>
  <si>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</si>
  <si>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</si>
  <si>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</si>
  <si>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</si>
  <si>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</si>
  <si>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</si>
  <si>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</si>
  <si>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</si>
  <si>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</si>
  <si>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</si>
  <si>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</si>
  <si>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</si>
  <si>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Fríjol verde*</t>
  </si>
  <si>
    <t>1.</t>
  </si>
  <si>
    <t>2.</t>
  </si>
  <si>
    <t>3.</t>
  </si>
  <si>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DANE, SIPSA</t>
    </r>
  </si>
  <si>
    <t>Regresar al índice</t>
  </si>
  <si>
    <t>Fecha de actualización: 12 de noviembre de 2024</t>
  </si>
  <si>
    <t>Octubre de 2024</t>
  </si>
  <si>
    <t>-</t>
  </si>
  <si>
    <t>n.d.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</si>
  <si>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</si>
  <si>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</si>
  <si>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</si>
  <si>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</si>
  <si>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</si>
  <si>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</si>
  <si>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</si>
  <si>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</si>
  <si>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</si>
  <si>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</si>
  <si>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</si>
  <si>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costilla</t>
  </si>
  <si>
    <t>Carne de res, lomo fino</t>
  </si>
  <si>
    <t>Pechuga de pollo</t>
  </si>
  <si>
    <t>Tilapia roja entera fresca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</si>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</sst>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Segoe UI"/>
      <family val="2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right" vertical="justify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 vertical="justify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0" borderId="0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0" borderId="0" xfId="34" applyNumberFormat="1" applyFont="1" applyFill="1" applyBorder="1" applyAlignment="1">
      <alignment horizontal="center" vertical="center"/>
    </xf>
    <xf numFmtId="0" fontId="23" fillId="33" borderId="2" xfId="36" applyFont="1" applyFill="1" applyBorder="1"/>
    <xf numFmtId="3" fontId="24" fillId="33" borderId="2" xfId="34" applyNumberFormat="1" applyFont="1" applyFill="1" applyBorder="1" applyAlignment="1">
      <alignment horizontal="right" vertical="center"/>
    </xf>
    <xf numFmtId="4" fontId="24" fillId="33" borderId="2" xfId="34" applyNumberFormat="1" applyFont="1" applyFill="1" applyBorder="1" applyAlignment="1">
      <alignment horizontal="right" vertical="center"/>
    </xf>
    <xf numFmtId="3" fontId="24" fillId="33" borderId="2" xfId="34" applyNumberFormat="1" applyFont="1" applyFill="1" applyBorder="1" applyAlignment="1">
      <alignment horizontal="right"/>
    </xf>
    <xf numFmtId="4" fontId="24" fillId="33" borderId="2" xfId="34" applyNumberFormat="1" applyFont="1" applyFill="1" applyBorder="1" applyAlignment="1">
      <alignment horizontal="right"/>
    </xf>
    <xf numFmtId="2" fontId="24" fillId="33" borderId="0" xfId="34" applyNumberFormat="1" applyFont="1" applyFill="1" applyBorder="1" applyAlignment="1">
      <alignment horizontal="right" vertical="center"/>
    </xf>
    <xf numFmtId="4" fontId="24" fillId="0" borderId="0" xfId="0" applyNumberFormat="1" applyFont="1" applyAlignment="1">
      <alignment horizontal="center" vertical="center"/>
    </xf>
    <xf numFmtId="0" fontId="28" fillId="31" borderId="2" xfId="0" applyFont="1" applyFill="1" applyBorder="1" applyAlignment="1">
      <alignment vertical="center"/>
    </xf>
    <xf numFmtId="0" fontId="28" fillId="31" borderId="15" xfId="0" applyFont="1" applyFill="1" applyBorder="1" applyAlignment="1">
      <alignment vertical="center"/>
    </xf>
    <xf numFmtId="0" fontId="28" fillId="31" borderId="3" xfId="0" applyFont="1" applyFill="1" applyBorder="1" applyAlignment="1">
      <alignment vertical="center"/>
    </xf>
    <xf numFmtId="0" fontId="28" fillId="31" borderId="11" xfId="0" applyFont="1" applyFill="1" applyBorder="1" applyAlignment="1">
      <alignment vertical="center"/>
    </xf>
    <xf numFmtId="0" fontId="32" fillId="31" borderId="10" xfId="0" applyFont="1" applyFill="1" applyBorder="1" applyAlignment="1">
      <alignment horizontal="right" vertical="center"/>
    </xf>
    <xf numFmtId="0" fontId="32" fillId="31" borderId="14" xfId="0" applyFont="1" applyFill="1" applyBorder="1" applyAlignment="1">
      <alignment horizontal="right" vertical="center"/>
    </xf>
    <xf numFmtId="0" fontId="32" fillId="31" borderId="9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vertical="center"/>
    </xf>
    <xf numFmtId="0" fontId="28" fillId="31" borderId="16" xfId="0" applyFont="1" applyFill="1" applyBorder="1" applyAlignment="1">
      <alignment vertical="center"/>
    </xf>
    <xf numFmtId="0" fontId="33" fillId="31" borderId="12" xfId="43" applyFont="1" applyFill="1" applyBorder="1" applyAlignment="1">
      <alignment horizontal="left" vertical="center"/>
    </xf>
    <xf numFmtId="0" fontId="2" fillId="31" borderId="3" xfId="31" quotePrefix="1" applyFill="1" applyBorder="1" applyAlignment="1" applyProtection="1">
      <alignment vertical="center"/>
    </xf>
    <xf numFmtId="0" fontId="2" fillId="31" borderId="1" xfId="31" quotePrefix="1" applyFill="1" applyBorder="1" applyAlignment="1" applyProtection="1">
      <alignment vertical="center"/>
    </xf>
    <xf numFmtId="0" fontId="2" fillId="31" borderId="2" xfId="31" quotePrefix="1" applyFill="1" applyBorder="1" applyAlignment="1" applyProtection="1">
      <alignment vertical="center"/>
    </xf>
    <xf numFmtId="0" fontId="35" fillId="0" borderId="0" xfId="31" applyFont="1" applyAlignment="1" applyProtection="1"/>
    <xf numFmtId="2" fontId="24" fillId="33" borderId="0" xfId="34" applyNumberFormat="1" applyFont="1" applyFill="1" applyBorder="1" applyAlignment="1">
      <alignment horizontal="center" vertical="center"/>
    </xf>
    <xf numFmtId="2" fontId="24" fillId="33" borderId="0" xfId="33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0" borderId="0" xfId="34" applyNumberFormat="1" applyFont="1" applyFill="1" applyBorder="1" applyAlignment="1">
      <alignment horizontal="center" vertical="center"/>
    </xf>
    <xf numFmtId="167" fontId="24" fillId="33" borderId="0" xfId="33" applyNumberFormat="1" applyFont="1" applyFill="1" applyAlignment="1">
      <alignment horizontal="center" vertical="center"/>
    </xf>
    <xf numFmtId="0" fontId="23" fillId="33" borderId="2" xfId="0" applyFont="1" applyFill="1" applyBorder="1"/>
    <xf numFmtId="3" fontId="24" fillId="33" borderId="2" xfId="0" applyNumberFormat="1" applyFont="1" applyFill="1" applyBorder="1" applyAlignment="1">
      <alignment horizontal="right"/>
    </xf>
    <xf numFmtId="4" fontId="24" fillId="33" borderId="2" xfId="0" applyNumberFormat="1" applyFont="1" applyFill="1" applyBorder="1" applyAlignment="1">
      <alignment horizontal="right"/>
    </xf>
    <xf numFmtId="2" fontId="24" fillId="33" borderId="2" xfId="0" applyNumberFormat="1" applyFont="1" applyFill="1" applyBorder="1" applyAlignment="1">
      <alignment horizontal="right" vertical="center"/>
    </xf>
    <xf numFmtId="2" fontId="24" fillId="33" borderId="2" xfId="0" applyNumberFormat="1" applyFont="1" applyFill="1" applyBorder="1" applyAlignment="1">
      <alignment horizontal="center" vertical="center"/>
    </xf>
    <xf numFmtId="4" fontId="24" fillId="33" borderId="2" xfId="0" applyNumberFormat="1" applyFont="1" applyFill="1" applyBorder="1" applyAlignment="1">
      <alignment horizontal="center" vertical="center"/>
    </xf>
    <xf numFmtId="3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right" vertical="center"/>
    </xf>
    <xf numFmtId="4" fontId="24" fillId="33" borderId="2" xfId="0" applyNumberFormat="1" applyFont="1" applyFill="1" applyBorder="1" applyAlignment="1">
      <alignment horizontal="center"/>
    </xf>
    <xf numFmtId="0" fontId="24" fillId="33" borderId="2" xfId="0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/>
    </xf>
    <xf numFmtId="4" fontId="31" fillId="0" borderId="0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/>
    <xf numFmtId="4" fontId="31" fillId="33" borderId="0" xfId="33" applyNumberFormat="1" applyFont="1" applyFill="1" applyBorder="1" applyAlignment="1"/>
    <xf numFmtId="4" fontId="31" fillId="33" borderId="0" xfId="33" applyNumberFormat="1" applyFont="1" applyFill="1" applyBorder="1" applyAlignment="1">
      <alignment vertical="center"/>
    </xf>
    <xf numFmtId="4" fontId="31" fillId="33" borderId="0" xfId="33" applyNumberFormat="1" applyFont="1" applyFill="1" applyBorder="1" applyAlignment="1">
      <alignment vertical="justify"/>
    </xf>
    <xf numFmtId="4" fontId="31" fillId="33" borderId="0" xfId="33" applyNumberFormat="1" applyFont="1" applyFill="1" applyBorder="1" applyAlignment="1" applyProtection="1">
      <alignment vertical="center"/>
    </xf>
    <xf numFmtId="4" fontId="31" fillId="0" borderId="0" xfId="33" applyNumberFormat="1" applyFont="1" applyFill="1" applyBorder="1" applyAlignment="1" applyProtection="1">
      <alignment vertical="justify"/>
    </xf>
    <xf numFmtId="4" fontId="31" fillId="0" borderId="2" xfId="33" applyNumberFormat="1" applyFont="1" applyFill="1" applyBorder="1" applyAlignment="1">
      <alignment vertical="center"/>
    </xf>
    <xf numFmtId="4" fontId="31" fillId="0" borderId="2" xfId="33" applyNumberFormat="1" applyFont="1" applyFill="1" applyBorder="1" applyAlignment="1"/>
    <xf numFmtId="4" fontId="31" fillId="0" borderId="2" xfId="33" applyNumberFormat="1" applyFont="1" applyFill="1" applyBorder="1" applyAlignment="1">
      <alignment vertical="justify"/>
    </xf>
    <xf numFmtId="4" fontId="31" fillId="0" borderId="0" xfId="33" applyNumberFormat="1" applyFont="1" applyFill="1" applyBorder="1" applyAlignment="1" applyProtection="1"/>
    <xf numFmtId="4" fontId="31" fillId="0" borderId="0" xfId="33" applyNumberFormat="1" applyFont="1" applyFill="1" applyBorder="1" applyAlignment="1" applyProtection="1">
      <alignment vertical="center"/>
    </xf>
    <xf numFmtId="4" fontId="31" fillId="33" borderId="2" xfId="33" applyNumberFormat="1" applyFont="1" applyFill="1" applyBorder="1" applyAlignment="1"/>
    <xf numFmtId="4" fontId="31" fillId="33" borderId="2" xfId="33" applyNumberFormat="1" applyFont="1" applyFill="1" applyBorder="1" applyAlignment="1">
      <alignment vertical="center"/>
    </xf>
    <xf numFmtId="0" fontId="27" fillId="32" borderId="10" xfId="0" applyFont="1" applyFill="1" applyBorder="1" applyAlignment="1">
      <alignment horizontal="center" vertical="center" wrapText="1"/>
    </xf>
    <xf numFmtId="0" fontId="27" fillId="32" borderId="3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27" fillId="32" borderId="0" xfId="0" applyFont="1" applyFill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3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90710</xdr:rowOff>
    </xdr:from>
    <xdr:to>
      <xdr:col>11</xdr:col>
      <xdr:colOff>760286</xdr:colOff>
      <xdr:row>3</xdr:row>
      <xdr:rowOff>181031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11864BE4-E80D-4190-BE20-92482CF9BC37}"/>
            </a:ext>
          </a:extLst>
        </xdr:cNvPr>
        <xdr:cNvGrpSpPr/>
      </xdr:nvGrpSpPr>
      <xdr:grpSpPr>
        <a:xfrm>
          <a:off x="0" y="90710"/>
          <a:ext cx="9178572" cy="933964"/>
          <a:chOff x="89644" y="67235"/>
          <a:chExt cx="9360000" cy="933964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2">
            <a:extLst>
              <a:ext uri="{FF2B5EF4-FFF2-40B4-BE49-F238E27FC236}">
                <a16:creationId xmlns:a16="http://schemas.microsoft.com/office/drawing/2014/main" id="{2E5C798F-784F-ADE1-EE3D-4E672C30BE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0</xdr:row>
      <xdr:rowOff>67235</xdr:rowOff>
    </xdr:from>
    <xdr:to>
      <xdr:col>16</xdr:col>
      <xdr:colOff>440115</xdr:colOff>
      <xdr:row>2</xdr:row>
      <xdr:rowOff>396081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4064F86-4912-FBD9-E1DB-BFCFB13A54F8}"/>
            </a:ext>
          </a:extLst>
        </xdr:cNvPr>
        <xdr:cNvGrpSpPr/>
      </xdr:nvGrpSpPr>
      <xdr:grpSpPr>
        <a:xfrm>
          <a:off x="89644" y="67235"/>
          <a:ext cx="9360000" cy="933964"/>
          <a:chOff x="89644" y="67235"/>
          <a:chExt cx="9360000" cy="933964"/>
        </a:xfrm>
      </xdr:grpSpPr>
      <xdr:pic>
        <xdr:nvPicPr>
          <xdr:cNvPr id="10" name="Imagen 12">
            <a:extLst>
              <a:ext uri="{FF2B5EF4-FFF2-40B4-BE49-F238E27FC236}">
                <a16:creationId xmlns:a16="http://schemas.microsoft.com/office/drawing/2014/main" id="{CD11CFED-4138-4BB7-4FEF-1BAE9EDD9D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D25BCB0D-9E4B-B869-3FEC-DDD2842618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0</xdr:row>
      <xdr:rowOff>0</xdr:rowOff>
    </xdr:from>
    <xdr:to>
      <xdr:col>9</xdr:col>
      <xdr:colOff>9567</xdr:colOff>
      <xdr:row>2</xdr:row>
      <xdr:rowOff>189568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A263171-CE0E-12F1-646A-56A69E8D1F46}"/>
            </a:ext>
          </a:extLst>
        </xdr:cNvPr>
        <xdr:cNvGrpSpPr/>
      </xdr:nvGrpSpPr>
      <xdr:grpSpPr>
        <a:xfrm>
          <a:off x="27611" y="0"/>
          <a:ext cx="7736427" cy="839509"/>
          <a:chOff x="27611" y="0"/>
          <a:chExt cx="7734478" cy="835611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A234E613-67D1-4316-8DBA-CBD8EDBDF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27611" y="794203"/>
            <a:ext cx="7734478" cy="41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A9600D0C-D83E-41B4-BE84-EE2CA5D3B2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551" y="0"/>
            <a:ext cx="1806875" cy="7068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6350</xdr:rowOff>
    </xdr:from>
    <xdr:to>
      <xdr:col>9</xdr:col>
      <xdr:colOff>6528</xdr:colOff>
      <xdr:row>2</xdr:row>
      <xdr:rowOff>187911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B9BF948-57EB-4F2D-AE0C-599459FE00DF}"/>
            </a:ext>
          </a:extLst>
        </xdr:cNvPr>
        <xdr:cNvGrpSpPr/>
      </xdr:nvGrpSpPr>
      <xdr:grpSpPr>
        <a:xfrm>
          <a:off x="25400" y="6350"/>
          <a:ext cx="7734478" cy="835611"/>
          <a:chOff x="27611" y="0"/>
          <a:chExt cx="7734478" cy="835611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9381C516-CEC9-0720-1547-FD5C30DDBD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27611" y="794203"/>
            <a:ext cx="7734478" cy="41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2">
            <a:extLst>
              <a:ext uri="{FF2B5EF4-FFF2-40B4-BE49-F238E27FC236}">
                <a16:creationId xmlns:a16="http://schemas.microsoft.com/office/drawing/2014/main" id="{CD85B95A-3851-B097-FB0A-B9C20431F9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551" y="0"/>
            <a:ext cx="1806875" cy="7068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10" sqref="A10"/>
    </sheetView>
  </sheetViews>
  <sheetFormatPr baseColWidth="10" defaultColWidth="11.453125" defaultRowHeight="16" x14ac:dyDescent="0.45"/>
  <cols>
    <col min="1" max="1" width="3.6328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4" ht="22" customHeight="1" x14ac:dyDescent="0.4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1:14" ht="22" customHeight="1" x14ac:dyDescent="0.4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N3" s="4"/>
    </row>
    <row r="4" spans="1:14" ht="22" customHeight="1" x14ac:dyDescent="0.4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</row>
    <row r="5" spans="1:14" ht="36" customHeight="1" x14ac:dyDescent="0.45">
      <c r="A5" s="174" t="s">
        <v>47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6"/>
    </row>
    <row r="6" spans="1:14" ht="31.5" customHeight="1" x14ac:dyDescent="0.45">
      <c r="A6" s="177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9"/>
    </row>
    <row r="7" spans="1:14" x14ac:dyDescent="0.45">
      <c r="A7" s="167" t="s">
        <v>65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9"/>
    </row>
    <row r="8" spans="1:14" ht="15" customHeight="1" x14ac:dyDescent="0.45">
      <c r="A8" s="170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2"/>
    </row>
    <row r="9" spans="1:14" x14ac:dyDescent="0.45">
      <c r="A9" s="170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2"/>
    </row>
    <row r="10" spans="1:14" s="10" customFormat="1" ht="31.5" customHeight="1" x14ac:dyDescent="0.25">
      <c r="A10" s="126" t="s">
        <v>59</v>
      </c>
      <c r="B10" s="132" t="str">
        <f>'1'!A6&amp;" "&amp;'1'!A7</f>
        <v>Comportamiento de los precios mayoristas de los principales alimentos en las principales ocho ciudades. Variación mensual. Octubre de 2024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</row>
    <row r="11" spans="1:14" s="10" customFormat="1" ht="31.5" customHeight="1" x14ac:dyDescent="0.25">
      <c r="A11" s="128" t="s">
        <v>60</v>
      </c>
      <c r="B11" s="133" t="str">
        <f>'2'!A6&amp;" "&amp;'2'!A7</f>
        <v>Comportamiento de los precios mayoristas de los principales alimentos en las principales ocho ciudades. Variación año corrido. Octubre de 2024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30"/>
    </row>
    <row r="12" spans="1:14" s="10" customFormat="1" ht="31.5" customHeight="1" x14ac:dyDescent="0.25">
      <c r="A12" s="127" t="s">
        <v>61</v>
      </c>
      <c r="B12" s="134" t="str">
        <f>'3'!A6&amp;" "&amp;'3'!A7</f>
        <v>Comportamiento de los precios mayoristas de los principales alimentos en las principales ocho ciudades. Variación anual. Octubre de 2024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3"/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64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B11" location="'2'!A1" display="'2'!A1" xr:uid="{549AA18A-F416-4462-A600-6B2E456340C2}"/>
    <hyperlink ref="B12" location="'3'!A1" display="'3'!A1" xr:uid="{0B4092F7-A9A7-4AEB-82ED-D56014BF70B6}"/>
    <hyperlink ref="B10" location="'1'!A1" display="'1'!A1" xr:uid="{D574E648-D3CE-4B18-B9F5-A71884B6F08B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showGridLines="0" topLeftCell="A2" zoomScale="85" zoomScaleNormal="85" workbookViewId="0">
      <selection activeCell="A4" sqref="A4:Q5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9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9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9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9" s="1" customFormat="1" ht="18.75" customHeight="1" x14ac:dyDescent="0.4">
      <c r="A4" s="182" t="s">
        <v>0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9" s="1" customFormat="1" ht="24" customHeight="1" x14ac:dyDescent="0.4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S5" s="135" t="s">
        <v>63</v>
      </c>
    </row>
    <row r="6" spans="1:19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9" ht="19.5" customHeight="1" x14ac:dyDescent="0.45">
      <c r="A7" s="2" t="str">
        <f>+"Variación mensual. "&amp;Índice!A7</f>
        <v>Variación mensual. Octubre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9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9" x14ac:dyDescent="0.45">
      <c r="A9" s="185" t="s">
        <v>1</v>
      </c>
      <c r="B9" s="184" t="s">
        <v>2</v>
      </c>
      <c r="C9" s="184"/>
      <c r="D9" s="184" t="s">
        <v>3</v>
      </c>
      <c r="E9" s="184"/>
      <c r="F9" s="184" t="s">
        <v>4</v>
      </c>
      <c r="G9" s="184"/>
      <c r="H9" s="183" t="s">
        <v>5</v>
      </c>
      <c r="I9" s="183"/>
      <c r="J9" s="184" t="s">
        <v>6</v>
      </c>
      <c r="K9" s="184"/>
      <c r="L9" s="184" t="s">
        <v>7</v>
      </c>
      <c r="M9" s="184"/>
      <c r="N9" s="184" t="s">
        <v>8</v>
      </c>
      <c r="O9" s="184"/>
      <c r="P9" s="184" t="s">
        <v>9</v>
      </c>
      <c r="Q9" s="184"/>
    </row>
    <row r="10" spans="1:19" x14ac:dyDescent="0.45">
      <c r="A10" s="186"/>
      <c r="B10" s="5" t="s">
        <v>10</v>
      </c>
      <c r="C10" s="19" t="s">
        <v>11</v>
      </c>
      <c r="D10" s="5" t="s">
        <v>10</v>
      </c>
      <c r="E10" s="19" t="s">
        <v>11</v>
      </c>
      <c r="F10" s="5" t="s">
        <v>10</v>
      </c>
      <c r="G10" s="19" t="s">
        <v>11</v>
      </c>
      <c r="H10" s="5" t="s">
        <v>10</v>
      </c>
      <c r="I10" s="19" t="s">
        <v>11</v>
      </c>
      <c r="J10" s="5" t="s">
        <v>10</v>
      </c>
      <c r="K10" s="19" t="s">
        <v>11</v>
      </c>
      <c r="L10" s="5" t="s">
        <v>10</v>
      </c>
      <c r="M10" s="19" t="s">
        <v>11</v>
      </c>
      <c r="N10" s="5" t="s">
        <v>10</v>
      </c>
      <c r="O10" s="19" t="s">
        <v>11</v>
      </c>
      <c r="P10" s="5" t="s">
        <v>10</v>
      </c>
      <c r="Q10" s="19" t="s">
        <v>11</v>
      </c>
    </row>
    <row r="11" spans="1:19" s="83" customFormat="1" ht="11.5" customHeight="1" x14ac:dyDescent="0.4">
      <c r="A11" s="94" t="s">
        <v>17</v>
      </c>
      <c r="B11" s="95"/>
      <c r="C11" s="96"/>
      <c r="D11" s="95"/>
      <c r="E11" s="96"/>
      <c r="F11" s="95"/>
      <c r="G11" s="96"/>
      <c r="H11" s="95"/>
      <c r="I11" s="96"/>
      <c r="J11" s="95"/>
      <c r="K11" s="96"/>
      <c r="L11" s="95"/>
      <c r="M11" s="96"/>
      <c r="N11" s="95"/>
      <c r="O11" s="96"/>
      <c r="P11" s="95"/>
      <c r="Q11" s="96"/>
    </row>
    <row r="12" spans="1:19" s="83" customFormat="1" ht="12" customHeight="1" x14ac:dyDescent="0.4">
      <c r="A12" s="20" t="s">
        <v>18</v>
      </c>
      <c r="B12" s="22">
        <v>1445</v>
      </c>
      <c r="C12" s="66">
        <v>-1.97</v>
      </c>
      <c r="D12" s="21">
        <v>1388</v>
      </c>
      <c r="E12" s="67">
        <v>-4.8</v>
      </c>
      <c r="F12" s="21">
        <v>899</v>
      </c>
      <c r="G12" s="67">
        <v>-5.96</v>
      </c>
      <c r="H12" s="21">
        <v>1733</v>
      </c>
      <c r="I12" s="109" t="s">
        <v>66</v>
      </c>
      <c r="J12" s="21">
        <v>954</v>
      </c>
      <c r="K12" s="67">
        <v>-1.55</v>
      </c>
      <c r="L12" s="21">
        <v>1380</v>
      </c>
      <c r="M12" s="67">
        <v>9.52</v>
      </c>
      <c r="N12" s="21">
        <v>891</v>
      </c>
      <c r="O12" s="67">
        <v>-2.2000000000000002</v>
      </c>
      <c r="P12" s="22">
        <v>1487</v>
      </c>
      <c r="Q12" s="68">
        <v>-4.5599999999999996</v>
      </c>
    </row>
    <row r="13" spans="1:19" s="83" customFormat="1" ht="12" customHeight="1" x14ac:dyDescent="0.4">
      <c r="A13" s="23" t="s">
        <v>19</v>
      </c>
      <c r="B13" s="24">
        <v>8277</v>
      </c>
      <c r="C13" s="69">
        <v>-7.63</v>
      </c>
      <c r="D13" s="24">
        <v>3680</v>
      </c>
      <c r="E13" s="70">
        <v>-14.64</v>
      </c>
      <c r="F13" s="24">
        <v>3337</v>
      </c>
      <c r="G13" s="70">
        <v>-34.93</v>
      </c>
      <c r="H13" s="92" t="s">
        <v>67</v>
      </c>
      <c r="I13" s="106" t="s">
        <v>66</v>
      </c>
      <c r="J13" s="24">
        <v>2759</v>
      </c>
      <c r="K13" s="69">
        <v>-27.98</v>
      </c>
      <c r="L13" s="24">
        <v>5448</v>
      </c>
      <c r="M13" s="70">
        <v>-6.65</v>
      </c>
      <c r="N13" s="24">
        <v>3623</v>
      </c>
      <c r="O13" s="70">
        <v>-6.58</v>
      </c>
      <c r="P13" s="25">
        <v>4232</v>
      </c>
      <c r="Q13" s="69">
        <v>-8.4600000000000009</v>
      </c>
    </row>
    <row r="14" spans="1:19" s="83" customFormat="1" ht="12" customHeight="1" x14ac:dyDescent="0.4">
      <c r="A14" s="20" t="s">
        <v>20</v>
      </c>
      <c r="B14" s="113">
        <v>1527</v>
      </c>
      <c r="C14" s="86">
        <v>-15.03</v>
      </c>
      <c r="D14" s="21">
        <v>904</v>
      </c>
      <c r="E14" s="67">
        <v>-29.1</v>
      </c>
      <c r="F14" s="21">
        <v>1434</v>
      </c>
      <c r="G14" s="67">
        <v>-28.3</v>
      </c>
      <c r="H14" s="21">
        <v>1465</v>
      </c>
      <c r="I14" s="67">
        <v>-17.420000000000002</v>
      </c>
      <c r="J14" s="113">
        <v>1571</v>
      </c>
      <c r="K14" s="86">
        <v>-17.920000000000002</v>
      </c>
      <c r="L14" s="21">
        <v>1354</v>
      </c>
      <c r="M14" s="67">
        <v>-13.43</v>
      </c>
      <c r="N14" s="21">
        <v>1151</v>
      </c>
      <c r="O14" s="67">
        <v>-23.62</v>
      </c>
      <c r="P14" s="21">
        <v>1335</v>
      </c>
      <c r="Q14" s="67">
        <v>-31.89</v>
      </c>
    </row>
    <row r="15" spans="1:19" s="83" customFormat="1" ht="12" customHeight="1" x14ac:dyDescent="0.4">
      <c r="A15" s="23" t="s">
        <v>21</v>
      </c>
      <c r="B15" s="24">
        <v>2474</v>
      </c>
      <c r="C15" s="70">
        <v>2.87</v>
      </c>
      <c r="D15" s="24">
        <v>1767</v>
      </c>
      <c r="E15" s="70">
        <v>-33.67</v>
      </c>
      <c r="F15" s="24">
        <v>1799</v>
      </c>
      <c r="G15" s="70">
        <v>-11.2</v>
      </c>
      <c r="H15" s="25">
        <v>3233</v>
      </c>
      <c r="I15" s="34">
        <v>14.81</v>
      </c>
      <c r="J15" s="24">
        <v>1630</v>
      </c>
      <c r="K15" s="70">
        <v>-23.04</v>
      </c>
      <c r="L15" s="24">
        <v>1575</v>
      </c>
      <c r="M15" s="70">
        <v>-9.74</v>
      </c>
      <c r="N15" s="24">
        <v>2478</v>
      </c>
      <c r="O15" s="70">
        <v>-9.9600000000000009</v>
      </c>
      <c r="P15" s="25">
        <v>1818</v>
      </c>
      <c r="Q15" s="69">
        <v>-18.510000000000002</v>
      </c>
    </row>
    <row r="16" spans="1:19" s="83" customFormat="1" ht="12" customHeight="1" x14ac:dyDescent="0.4">
      <c r="A16" s="20" t="s">
        <v>22</v>
      </c>
      <c r="B16" s="136" t="s">
        <v>67</v>
      </c>
      <c r="C16" s="109" t="s">
        <v>66</v>
      </c>
      <c r="D16" s="21">
        <v>1379</v>
      </c>
      <c r="E16" s="67">
        <v>-7.14</v>
      </c>
      <c r="F16" s="21">
        <v>1296</v>
      </c>
      <c r="G16" s="67">
        <v>-7.43</v>
      </c>
      <c r="H16" s="21">
        <v>1490</v>
      </c>
      <c r="I16" s="67">
        <v>0.88</v>
      </c>
      <c r="J16" s="21">
        <v>1931</v>
      </c>
      <c r="K16" s="67">
        <v>75.069999999999993</v>
      </c>
      <c r="L16" s="21">
        <v>1371</v>
      </c>
      <c r="M16" s="67">
        <v>-6.1</v>
      </c>
      <c r="N16" s="21">
        <v>1432</v>
      </c>
      <c r="O16" s="67">
        <v>7.51</v>
      </c>
      <c r="P16" s="136" t="s">
        <v>67</v>
      </c>
      <c r="Q16" s="109" t="s">
        <v>66</v>
      </c>
    </row>
    <row r="17" spans="1:17" s="83" customFormat="1" ht="12" customHeight="1" x14ac:dyDescent="0.4">
      <c r="A17" s="23" t="s">
        <v>58</v>
      </c>
      <c r="B17" s="25">
        <v>8495</v>
      </c>
      <c r="C17" s="107">
        <v>-5.3</v>
      </c>
      <c r="D17" s="24">
        <v>4060</v>
      </c>
      <c r="E17" s="70">
        <v>15.24</v>
      </c>
      <c r="F17" s="24">
        <v>3911</v>
      </c>
      <c r="G17" s="70">
        <v>-11.15</v>
      </c>
      <c r="H17" s="92" t="s">
        <v>67</v>
      </c>
      <c r="I17" s="114" t="s">
        <v>66</v>
      </c>
      <c r="J17" s="24">
        <v>4413</v>
      </c>
      <c r="K17" s="70">
        <v>15.25</v>
      </c>
      <c r="L17" s="24">
        <v>5502</v>
      </c>
      <c r="M17" s="70">
        <v>13.23</v>
      </c>
      <c r="N17" s="24">
        <v>3874</v>
      </c>
      <c r="O17" s="70">
        <v>17.54</v>
      </c>
      <c r="P17" s="25">
        <v>4692</v>
      </c>
      <c r="Q17" s="107">
        <v>19.600000000000001</v>
      </c>
    </row>
    <row r="18" spans="1:17" s="83" customFormat="1" ht="12" customHeight="1" x14ac:dyDescent="0.4">
      <c r="A18" s="20" t="s">
        <v>23</v>
      </c>
      <c r="B18" s="21">
        <v>5137</v>
      </c>
      <c r="C18" s="67">
        <v>24.32</v>
      </c>
      <c r="D18" s="21">
        <v>4191</v>
      </c>
      <c r="E18" s="67">
        <v>-2.94</v>
      </c>
      <c r="F18" s="21">
        <v>3913</v>
      </c>
      <c r="G18" s="67">
        <v>83.11</v>
      </c>
      <c r="H18" s="22">
        <v>5245</v>
      </c>
      <c r="I18" s="68">
        <v>23.67</v>
      </c>
      <c r="J18" s="21">
        <v>5394</v>
      </c>
      <c r="K18" s="67">
        <v>9.3000000000000007</v>
      </c>
      <c r="L18" s="21">
        <v>4223</v>
      </c>
      <c r="M18" s="67">
        <v>2.0499999999999998</v>
      </c>
      <c r="N18" s="21">
        <v>3112</v>
      </c>
      <c r="O18" s="67">
        <v>52.7</v>
      </c>
      <c r="P18" s="22">
        <v>5480</v>
      </c>
      <c r="Q18" s="68">
        <v>24.46</v>
      </c>
    </row>
    <row r="19" spans="1:17" s="83" customFormat="1" ht="12" customHeight="1" x14ac:dyDescent="0.4">
      <c r="A19" s="23" t="s">
        <v>24</v>
      </c>
      <c r="B19" s="26">
        <v>1918</v>
      </c>
      <c r="C19" s="72">
        <v>-11.73</v>
      </c>
      <c r="D19" s="24">
        <v>1079</v>
      </c>
      <c r="E19" s="70">
        <v>-19.899999999999999</v>
      </c>
      <c r="F19" s="24">
        <v>1817</v>
      </c>
      <c r="G19" s="70">
        <v>-17.18</v>
      </c>
      <c r="H19" s="24">
        <v>1716</v>
      </c>
      <c r="I19" s="70">
        <v>-10.63</v>
      </c>
      <c r="J19" s="26">
        <v>844</v>
      </c>
      <c r="K19" s="72">
        <v>-20.97</v>
      </c>
      <c r="L19" s="24">
        <v>1967</v>
      </c>
      <c r="M19" s="70">
        <v>-1.65</v>
      </c>
      <c r="N19" s="24">
        <v>847</v>
      </c>
      <c r="O19" s="70">
        <v>5.48</v>
      </c>
      <c r="P19" s="24">
        <v>1742</v>
      </c>
      <c r="Q19" s="70">
        <v>-4.2300000000000004</v>
      </c>
    </row>
    <row r="20" spans="1:17" s="83" customFormat="1" ht="12" customHeight="1" x14ac:dyDescent="0.4">
      <c r="A20" s="20" t="s">
        <v>25</v>
      </c>
      <c r="B20" s="21">
        <v>1262</v>
      </c>
      <c r="C20" s="67">
        <v>-38.020000000000003</v>
      </c>
      <c r="D20" s="21">
        <v>2119</v>
      </c>
      <c r="E20" s="67">
        <v>-38.99</v>
      </c>
      <c r="F20" s="21">
        <v>800</v>
      </c>
      <c r="G20" s="67">
        <v>-49.56</v>
      </c>
      <c r="H20" s="22">
        <v>1496</v>
      </c>
      <c r="I20" s="68">
        <v>-31.06</v>
      </c>
      <c r="J20" s="21">
        <v>1307</v>
      </c>
      <c r="K20" s="67">
        <v>-38.06</v>
      </c>
      <c r="L20" s="21">
        <v>1271</v>
      </c>
      <c r="M20" s="67">
        <v>-33.97</v>
      </c>
      <c r="N20" s="21">
        <v>1113</v>
      </c>
      <c r="O20" s="67">
        <v>-49.62</v>
      </c>
      <c r="P20" s="22">
        <v>1820</v>
      </c>
      <c r="Q20" s="68">
        <v>-34.32</v>
      </c>
    </row>
    <row r="21" spans="1:17" s="83" customFormat="1" ht="12" customHeight="1" x14ac:dyDescent="0.4">
      <c r="A21" s="23" t="s">
        <v>26</v>
      </c>
      <c r="B21" s="24">
        <v>2797</v>
      </c>
      <c r="C21" s="70">
        <v>2.94</v>
      </c>
      <c r="D21" s="24">
        <v>5118</v>
      </c>
      <c r="E21" s="70">
        <v>14.99</v>
      </c>
      <c r="F21" s="24">
        <v>4345</v>
      </c>
      <c r="G21" s="70">
        <v>-3.4</v>
      </c>
      <c r="H21" s="24">
        <v>5130</v>
      </c>
      <c r="I21" s="70">
        <v>41.4</v>
      </c>
      <c r="J21" s="24">
        <v>3366</v>
      </c>
      <c r="K21" s="70">
        <v>27.45</v>
      </c>
      <c r="L21" s="24">
        <v>4491</v>
      </c>
      <c r="M21" s="70">
        <v>36.130000000000003</v>
      </c>
      <c r="N21" s="24">
        <v>3547</v>
      </c>
      <c r="O21" s="70">
        <v>43.6</v>
      </c>
      <c r="P21" s="24">
        <v>3773</v>
      </c>
      <c r="Q21" s="70">
        <v>20.89</v>
      </c>
    </row>
    <row r="22" spans="1:17" s="83" customFormat="1" ht="12" customHeight="1" x14ac:dyDescent="0.4">
      <c r="A22" s="20" t="s">
        <v>27</v>
      </c>
      <c r="B22" s="21">
        <v>2058</v>
      </c>
      <c r="C22" s="67">
        <v>-25.16</v>
      </c>
      <c r="D22" s="21">
        <v>1666</v>
      </c>
      <c r="E22" s="67">
        <v>-31.5</v>
      </c>
      <c r="F22" s="21">
        <v>1504</v>
      </c>
      <c r="G22" s="67">
        <v>-10.53</v>
      </c>
      <c r="H22" s="22">
        <v>2207</v>
      </c>
      <c r="I22" s="68">
        <v>-23.45</v>
      </c>
      <c r="J22" s="21">
        <v>2230</v>
      </c>
      <c r="K22" s="67">
        <v>-21.59</v>
      </c>
      <c r="L22" s="21">
        <v>1836</v>
      </c>
      <c r="M22" s="67">
        <v>-5.85</v>
      </c>
      <c r="N22" s="21">
        <v>1813</v>
      </c>
      <c r="O22" s="67">
        <v>14.6</v>
      </c>
      <c r="P22" s="22">
        <v>2455</v>
      </c>
      <c r="Q22" s="68">
        <v>-20.68</v>
      </c>
    </row>
    <row r="23" spans="1:17" s="83" customFormat="1" ht="12" customHeight="1" x14ac:dyDescent="0.4">
      <c r="A23" s="23" t="s">
        <v>28</v>
      </c>
      <c r="B23" s="24">
        <v>2266</v>
      </c>
      <c r="C23" s="70">
        <v>17.96</v>
      </c>
      <c r="D23" s="24">
        <v>2007</v>
      </c>
      <c r="E23" s="70">
        <v>-11.55</v>
      </c>
      <c r="F23" s="24">
        <v>1985</v>
      </c>
      <c r="G23" s="70">
        <v>2.85</v>
      </c>
      <c r="H23" s="92" t="s">
        <v>67</v>
      </c>
      <c r="I23" s="106" t="s">
        <v>66</v>
      </c>
      <c r="J23" s="24">
        <v>2136</v>
      </c>
      <c r="K23" s="70">
        <v>12.13</v>
      </c>
      <c r="L23" s="24">
        <v>2058</v>
      </c>
      <c r="M23" s="70">
        <v>-4.63</v>
      </c>
      <c r="N23" s="24">
        <v>1569</v>
      </c>
      <c r="O23" s="70">
        <v>-19.62</v>
      </c>
      <c r="P23" s="25">
        <v>2230</v>
      </c>
      <c r="Q23" s="69">
        <v>-12.27</v>
      </c>
    </row>
    <row r="24" spans="1:17" s="103" customFormat="1" ht="11.5" x14ac:dyDescent="0.3">
      <c r="A24" s="115" t="s">
        <v>29</v>
      </c>
      <c r="B24" s="116">
        <v>1988</v>
      </c>
      <c r="C24" s="117">
        <v>2.95</v>
      </c>
      <c r="D24" s="118">
        <v>2487</v>
      </c>
      <c r="E24" s="119">
        <v>-8.33</v>
      </c>
      <c r="F24" s="118">
        <v>1868</v>
      </c>
      <c r="G24" s="119">
        <v>-28.97</v>
      </c>
      <c r="H24" s="118">
        <v>2431</v>
      </c>
      <c r="I24" s="119">
        <v>3.27</v>
      </c>
      <c r="J24" s="118">
        <v>2745</v>
      </c>
      <c r="K24" s="119">
        <v>1.07</v>
      </c>
      <c r="L24" s="118">
        <v>2335</v>
      </c>
      <c r="M24" s="119">
        <v>-8.5</v>
      </c>
      <c r="N24" s="118">
        <v>1229</v>
      </c>
      <c r="O24" s="119">
        <v>-3.08</v>
      </c>
      <c r="P24" s="118">
        <v>2396</v>
      </c>
      <c r="Q24" s="119">
        <v>-5.93</v>
      </c>
    </row>
    <row r="25" spans="1:17" s="83" customFormat="1" ht="11.5" customHeight="1" x14ac:dyDescent="0.4">
      <c r="A25" s="94" t="s">
        <v>30</v>
      </c>
      <c r="B25" s="95"/>
      <c r="C25" s="96"/>
      <c r="D25" s="95"/>
      <c r="E25" s="96"/>
      <c r="F25" s="95"/>
      <c r="G25" s="96"/>
      <c r="H25" s="95"/>
      <c r="I25" s="96"/>
      <c r="J25" s="95"/>
      <c r="K25" s="96"/>
      <c r="L25" s="95"/>
      <c r="M25" s="96"/>
      <c r="N25" s="95"/>
      <c r="O25" s="96"/>
      <c r="P25" s="95"/>
      <c r="Q25" s="96"/>
    </row>
    <row r="26" spans="1:17" s="83" customFormat="1" ht="12" customHeight="1" x14ac:dyDescent="0.4">
      <c r="A26" s="23" t="s">
        <v>48</v>
      </c>
      <c r="B26" s="140" t="s">
        <v>67</v>
      </c>
      <c r="C26" s="106" t="s">
        <v>66</v>
      </c>
      <c r="D26" s="24">
        <v>11030</v>
      </c>
      <c r="E26" s="70">
        <v>19.71</v>
      </c>
      <c r="F26" s="24">
        <v>10154</v>
      </c>
      <c r="G26" s="34">
        <v>18.68</v>
      </c>
      <c r="H26" s="25">
        <v>11944</v>
      </c>
      <c r="I26" s="107">
        <v>12.41</v>
      </c>
      <c r="J26" s="26">
        <v>11763</v>
      </c>
      <c r="K26" s="69">
        <v>22.67</v>
      </c>
      <c r="L26" s="26">
        <v>11238</v>
      </c>
      <c r="M26" s="106" t="s">
        <v>66</v>
      </c>
      <c r="N26" s="24">
        <v>11914</v>
      </c>
      <c r="O26" s="70">
        <v>31.78</v>
      </c>
      <c r="P26" s="25">
        <v>12571</v>
      </c>
      <c r="Q26" s="69">
        <v>47.17</v>
      </c>
    </row>
    <row r="27" spans="1:17" s="83" customFormat="1" ht="12" customHeight="1" x14ac:dyDescent="0.4">
      <c r="A27" s="20" t="s">
        <v>31</v>
      </c>
      <c r="B27" s="21">
        <v>946</v>
      </c>
      <c r="C27" s="67">
        <v>-28.87</v>
      </c>
      <c r="D27" s="21">
        <v>2864</v>
      </c>
      <c r="E27" s="67">
        <v>-0.56000000000000005</v>
      </c>
      <c r="F27" s="21">
        <v>3384</v>
      </c>
      <c r="G27" s="67">
        <v>0.68</v>
      </c>
      <c r="H27" s="136" t="s">
        <v>67</v>
      </c>
      <c r="I27" s="109" t="s">
        <v>66</v>
      </c>
      <c r="J27" s="21">
        <v>1993</v>
      </c>
      <c r="K27" s="67">
        <v>-9.24</v>
      </c>
      <c r="L27" s="21">
        <v>3302</v>
      </c>
      <c r="M27" s="67">
        <v>4.3</v>
      </c>
      <c r="N27" s="21">
        <v>2370</v>
      </c>
      <c r="O27" s="67">
        <v>0.08</v>
      </c>
      <c r="P27" s="22">
        <v>2089</v>
      </c>
      <c r="Q27" s="68">
        <v>3.26</v>
      </c>
    </row>
    <row r="28" spans="1:17" s="83" customFormat="1" ht="12" customHeight="1" x14ac:dyDescent="0.4">
      <c r="A28" s="23" t="s">
        <v>32</v>
      </c>
      <c r="B28" s="24">
        <v>6056</v>
      </c>
      <c r="C28" s="70">
        <v>1.07</v>
      </c>
      <c r="D28" s="24">
        <v>7480</v>
      </c>
      <c r="E28" s="70">
        <v>7.15</v>
      </c>
      <c r="F28" s="92" t="s">
        <v>67</v>
      </c>
      <c r="G28" s="106" t="s">
        <v>66</v>
      </c>
      <c r="H28" s="24">
        <v>8982</v>
      </c>
      <c r="I28" s="70">
        <v>3.68</v>
      </c>
      <c r="J28" s="24">
        <v>4011</v>
      </c>
      <c r="K28" s="70">
        <v>1.03</v>
      </c>
      <c r="L28" s="92" t="s">
        <v>67</v>
      </c>
      <c r="M28" s="106" t="s">
        <v>66</v>
      </c>
      <c r="N28" s="25">
        <v>12439</v>
      </c>
      <c r="O28" s="70">
        <v>-2.89</v>
      </c>
      <c r="P28" s="24">
        <v>6367</v>
      </c>
      <c r="Q28" s="70">
        <v>18.149999999999999</v>
      </c>
    </row>
    <row r="29" spans="1:17" s="83" customFormat="1" ht="12" customHeight="1" x14ac:dyDescent="0.4">
      <c r="A29" s="20" t="s">
        <v>33</v>
      </c>
      <c r="B29" s="136" t="s">
        <v>67</v>
      </c>
      <c r="C29" s="109" t="s">
        <v>66</v>
      </c>
      <c r="D29" s="21">
        <v>6189</v>
      </c>
      <c r="E29" s="67">
        <v>-21.81</v>
      </c>
      <c r="F29" s="21">
        <v>7287</v>
      </c>
      <c r="G29" s="67">
        <v>-13.23</v>
      </c>
      <c r="H29" s="136" t="s">
        <v>67</v>
      </c>
      <c r="I29" s="109" t="s">
        <v>66</v>
      </c>
      <c r="J29" s="22">
        <v>6370</v>
      </c>
      <c r="K29" s="66">
        <v>-17.079999999999998</v>
      </c>
      <c r="L29" s="22">
        <v>8240</v>
      </c>
      <c r="M29" s="68">
        <v>-3.48</v>
      </c>
      <c r="N29" s="21">
        <v>6102</v>
      </c>
      <c r="O29" s="67">
        <v>8.35</v>
      </c>
      <c r="P29" s="22">
        <v>6967</v>
      </c>
      <c r="Q29" s="68">
        <v>-8.8800000000000008</v>
      </c>
    </row>
    <row r="30" spans="1:17" s="83" customFormat="1" ht="12" customHeight="1" x14ac:dyDescent="0.4">
      <c r="A30" s="23" t="s">
        <v>34</v>
      </c>
      <c r="B30" s="24">
        <v>3164</v>
      </c>
      <c r="C30" s="70">
        <v>5.64</v>
      </c>
      <c r="D30" s="24">
        <v>1927</v>
      </c>
      <c r="E30" s="70">
        <v>-0.77</v>
      </c>
      <c r="F30" s="24">
        <v>1418</v>
      </c>
      <c r="G30" s="70">
        <v>36.22</v>
      </c>
      <c r="H30" s="24">
        <v>2990</v>
      </c>
      <c r="I30" s="70">
        <v>-0.1</v>
      </c>
      <c r="J30" s="24">
        <v>1855</v>
      </c>
      <c r="K30" s="70">
        <v>-2.83</v>
      </c>
      <c r="L30" s="24">
        <v>2071</v>
      </c>
      <c r="M30" s="70">
        <v>4.91</v>
      </c>
      <c r="N30" s="24">
        <v>2786</v>
      </c>
      <c r="O30" s="70">
        <v>20.71</v>
      </c>
      <c r="P30" s="24">
        <v>2287</v>
      </c>
      <c r="Q30" s="70">
        <v>-2.85</v>
      </c>
    </row>
    <row r="31" spans="1:17" s="83" customFormat="1" ht="12" customHeight="1" x14ac:dyDescent="0.4">
      <c r="A31" s="20" t="s">
        <v>55</v>
      </c>
      <c r="B31" s="21">
        <v>3704</v>
      </c>
      <c r="C31" s="67">
        <v>56.62</v>
      </c>
      <c r="D31" s="21">
        <v>3573</v>
      </c>
      <c r="E31" s="67">
        <v>-1.22</v>
      </c>
      <c r="F31" s="21">
        <v>2610</v>
      </c>
      <c r="G31" s="67">
        <v>59.54</v>
      </c>
      <c r="H31" s="22">
        <v>4098</v>
      </c>
      <c r="I31" s="68">
        <v>42.14</v>
      </c>
      <c r="J31" s="21">
        <v>3193</v>
      </c>
      <c r="K31" s="68">
        <v>18.350000000000001</v>
      </c>
      <c r="L31" s="21">
        <v>2869</v>
      </c>
      <c r="M31" s="67">
        <v>40.64</v>
      </c>
      <c r="N31" s="21">
        <v>3689</v>
      </c>
      <c r="O31" s="67">
        <v>99.51</v>
      </c>
      <c r="P31" s="22">
        <v>3328</v>
      </c>
      <c r="Q31" s="68">
        <v>43.39</v>
      </c>
    </row>
    <row r="32" spans="1:17" s="83" customFormat="1" ht="12" customHeight="1" x14ac:dyDescent="0.4">
      <c r="A32" s="23" t="s">
        <v>35</v>
      </c>
      <c r="B32" s="25">
        <v>5192</v>
      </c>
      <c r="C32" s="69">
        <v>-10.48</v>
      </c>
      <c r="D32" s="24">
        <v>4216</v>
      </c>
      <c r="E32" s="70">
        <v>-2.68</v>
      </c>
      <c r="F32" s="24">
        <v>4415</v>
      </c>
      <c r="G32" s="70">
        <v>-1.69</v>
      </c>
      <c r="H32" s="25">
        <v>5576</v>
      </c>
      <c r="I32" s="69">
        <v>-5.7</v>
      </c>
      <c r="J32" s="25">
        <v>4135</v>
      </c>
      <c r="K32" s="69">
        <v>-1.31</v>
      </c>
      <c r="L32" s="24">
        <v>5341</v>
      </c>
      <c r="M32" s="70">
        <v>-9.73</v>
      </c>
      <c r="N32" s="24">
        <v>3986</v>
      </c>
      <c r="O32" s="70">
        <v>1.27</v>
      </c>
      <c r="P32" s="25">
        <v>4193</v>
      </c>
      <c r="Q32" s="69">
        <v>-1.83</v>
      </c>
    </row>
    <row r="33" spans="1:17" s="83" customFormat="1" ht="12" customHeight="1" x14ac:dyDescent="0.4">
      <c r="A33" s="20" t="s">
        <v>36</v>
      </c>
      <c r="B33" s="21">
        <v>3207</v>
      </c>
      <c r="C33" s="67">
        <v>-31.31</v>
      </c>
      <c r="D33" s="21">
        <v>3363</v>
      </c>
      <c r="E33" s="67">
        <v>-37.06</v>
      </c>
      <c r="F33" s="21">
        <v>2136</v>
      </c>
      <c r="G33" s="66">
        <v>-38.409999999999997</v>
      </c>
      <c r="H33" s="22">
        <v>3602</v>
      </c>
      <c r="I33" s="120">
        <v>-21.61</v>
      </c>
      <c r="J33" s="21">
        <v>4199</v>
      </c>
      <c r="K33" s="67">
        <v>0.19</v>
      </c>
      <c r="L33" s="21">
        <v>3665</v>
      </c>
      <c r="M33" s="67">
        <v>-20.86</v>
      </c>
      <c r="N33" s="21">
        <v>4282</v>
      </c>
      <c r="O33" s="67">
        <v>-10.32</v>
      </c>
      <c r="P33" s="22">
        <v>3730</v>
      </c>
      <c r="Q33" s="66">
        <v>23.22</v>
      </c>
    </row>
    <row r="34" spans="1:17" s="83" customFormat="1" ht="12" customHeight="1" x14ac:dyDescent="0.4">
      <c r="A34" s="23" t="s">
        <v>37</v>
      </c>
      <c r="B34" s="24">
        <v>7581</v>
      </c>
      <c r="C34" s="70">
        <v>0.42</v>
      </c>
      <c r="D34" s="24">
        <v>7626</v>
      </c>
      <c r="E34" s="33">
        <v>-22.1</v>
      </c>
      <c r="F34" s="24">
        <v>4990</v>
      </c>
      <c r="G34" s="69">
        <v>-43.3</v>
      </c>
      <c r="H34" s="92" t="s">
        <v>67</v>
      </c>
      <c r="I34" s="92" t="s">
        <v>66</v>
      </c>
      <c r="J34" s="24">
        <v>5600</v>
      </c>
      <c r="K34" s="70">
        <v>-34.97</v>
      </c>
      <c r="L34" s="24">
        <v>5350</v>
      </c>
      <c r="M34" s="70">
        <v>-38.51</v>
      </c>
      <c r="N34" s="24">
        <v>4644</v>
      </c>
      <c r="O34" s="69">
        <v>-40.840000000000003</v>
      </c>
      <c r="P34" s="25">
        <v>5740</v>
      </c>
      <c r="Q34" s="70">
        <v>-32.119999999999997</v>
      </c>
    </row>
    <row r="35" spans="1:17" s="83" customFormat="1" ht="12" customHeight="1" x14ac:dyDescent="0.4">
      <c r="A35" s="20" t="s">
        <v>51</v>
      </c>
      <c r="B35" s="137" t="s">
        <v>67</v>
      </c>
      <c r="C35" s="109" t="s">
        <v>66</v>
      </c>
      <c r="D35" s="21">
        <v>10269</v>
      </c>
      <c r="E35" s="67">
        <v>-0.68</v>
      </c>
      <c r="F35" s="21">
        <v>8531</v>
      </c>
      <c r="G35" s="67">
        <v>-6.88</v>
      </c>
      <c r="H35" s="22">
        <v>8958</v>
      </c>
      <c r="I35" s="66">
        <v>-1.08</v>
      </c>
      <c r="J35" s="22">
        <v>8769</v>
      </c>
      <c r="K35" s="68">
        <v>-1.1599999999999999</v>
      </c>
      <c r="L35" s="21">
        <v>9382</v>
      </c>
      <c r="M35" s="67">
        <v>-2.52</v>
      </c>
      <c r="N35" s="21">
        <v>9045</v>
      </c>
      <c r="O35" s="67">
        <v>-1.37</v>
      </c>
      <c r="P35" s="22">
        <v>8715</v>
      </c>
      <c r="Q35" s="68">
        <v>-1.24</v>
      </c>
    </row>
    <row r="36" spans="1:17" s="83" customFormat="1" ht="12" customHeight="1" x14ac:dyDescent="0.4">
      <c r="A36" s="23" t="s">
        <v>38</v>
      </c>
      <c r="B36" s="92" t="s">
        <v>67</v>
      </c>
      <c r="C36" s="34" t="s">
        <v>66</v>
      </c>
      <c r="D36" s="24">
        <v>3661</v>
      </c>
      <c r="E36" s="70">
        <v>-7.88</v>
      </c>
      <c r="F36" s="24">
        <v>3211</v>
      </c>
      <c r="G36" s="70">
        <v>-10.58</v>
      </c>
      <c r="H36" s="92" t="s">
        <v>67</v>
      </c>
      <c r="I36" s="106" t="s">
        <v>66</v>
      </c>
      <c r="J36" s="24">
        <v>4130</v>
      </c>
      <c r="K36" s="70">
        <v>6.77</v>
      </c>
      <c r="L36" s="24">
        <v>4184</v>
      </c>
      <c r="M36" s="70">
        <v>-5.0199999999999996</v>
      </c>
      <c r="N36" s="24">
        <v>2459</v>
      </c>
      <c r="O36" s="70">
        <v>-25.21</v>
      </c>
      <c r="P36" s="25">
        <v>3837</v>
      </c>
      <c r="Q36" s="70">
        <v>-3.57</v>
      </c>
    </row>
    <row r="37" spans="1:17" s="83" customFormat="1" ht="12" customHeight="1" x14ac:dyDescent="0.4">
      <c r="A37" s="20" t="s">
        <v>39</v>
      </c>
      <c r="B37" s="21">
        <v>4763</v>
      </c>
      <c r="C37" s="67">
        <v>5.92</v>
      </c>
      <c r="D37" s="21">
        <v>3779</v>
      </c>
      <c r="E37" s="67">
        <v>20.62</v>
      </c>
      <c r="F37" s="21">
        <v>2959</v>
      </c>
      <c r="G37" s="67">
        <v>21.67</v>
      </c>
      <c r="H37" s="22">
        <v>3738</v>
      </c>
      <c r="I37" s="68">
        <v>11.68</v>
      </c>
      <c r="J37" s="21">
        <v>3211</v>
      </c>
      <c r="K37" s="67">
        <v>2.85</v>
      </c>
      <c r="L37" s="21">
        <v>2390</v>
      </c>
      <c r="M37" s="67">
        <v>9.0299999999999994</v>
      </c>
      <c r="N37" s="21">
        <v>2168</v>
      </c>
      <c r="O37" s="67">
        <v>35.159999999999997</v>
      </c>
      <c r="P37" s="22">
        <v>3900</v>
      </c>
      <c r="Q37" s="68">
        <v>-6.88</v>
      </c>
    </row>
    <row r="38" spans="1:17" s="83" customFormat="1" ht="12" customHeight="1" x14ac:dyDescent="0.4">
      <c r="A38" s="23" t="s">
        <v>57</v>
      </c>
      <c r="B38" s="25">
        <v>1794</v>
      </c>
      <c r="C38" s="107">
        <v>20</v>
      </c>
      <c r="D38" s="24">
        <v>1950</v>
      </c>
      <c r="E38" s="70">
        <v>-10.3</v>
      </c>
      <c r="F38" s="24">
        <v>991</v>
      </c>
      <c r="G38" s="69">
        <v>-5.8</v>
      </c>
      <c r="H38" s="140" t="s">
        <v>67</v>
      </c>
      <c r="I38" s="69" t="s">
        <v>66</v>
      </c>
      <c r="J38" s="25">
        <v>1577</v>
      </c>
      <c r="K38" s="107">
        <v>-7.4</v>
      </c>
      <c r="L38" s="25">
        <v>1382</v>
      </c>
      <c r="M38" s="107">
        <v>-7.31</v>
      </c>
      <c r="N38" s="24">
        <v>2454</v>
      </c>
      <c r="O38" s="69">
        <v>3.07</v>
      </c>
      <c r="P38" s="24">
        <v>1765</v>
      </c>
      <c r="Q38" s="72">
        <v>0.17</v>
      </c>
    </row>
    <row r="39" spans="1:17" s="83" customFormat="1" ht="12" customHeight="1" x14ac:dyDescent="0.4">
      <c r="A39" s="20" t="s">
        <v>56</v>
      </c>
      <c r="B39" s="22">
        <v>1662</v>
      </c>
      <c r="C39" s="66">
        <v>-21.86</v>
      </c>
      <c r="D39" s="22">
        <v>1306</v>
      </c>
      <c r="E39" s="68">
        <v>-52.65</v>
      </c>
      <c r="F39" s="21">
        <v>1494</v>
      </c>
      <c r="G39" s="67">
        <v>-27.05</v>
      </c>
      <c r="H39" s="22">
        <v>1813</v>
      </c>
      <c r="I39" s="68">
        <v>-28.54</v>
      </c>
      <c r="J39" s="22">
        <v>1966</v>
      </c>
      <c r="K39" s="67">
        <v>-3.63</v>
      </c>
      <c r="L39" s="22">
        <v>2188</v>
      </c>
      <c r="M39" s="68">
        <v>-24.73</v>
      </c>
      <c r="N39" s="21">
        <v>3093</v>
      </c>
      <c r="O39" s="67">
        <v>4.5599999999999996</v>
      </c>
      <c r="P39" s="22">
        <v>2153</v>
      </c>
      <c r="Q39" s="68">
        <v>-0.42</v>
      </c>
    </row>
    <row r="40" spans="1:17" s="83" customFormat="1" ht="12" customHeight="1" x14ac:dyDescent="0.4">
      <c r="A40" s="23" t="s">
        <v>40</v>
      </c>
      <c r="B40" s="25">
        <v>3136</v>
      </c>
      <c r="C40" s="69">
        <v>-16.22</v>
      </c>
      <c r="D40" s="25">
        <v>2959</v>
      </c>
      <c r="E40" s="69">
        <v>-13.98</v>
      </c>
      <c r="F40" s="24">
        <v>3134</v>
      </c>
      <c r="G40" s="70">
        <v>-5.35</v>
      </c>
      <c r="H40" s="25">
        <v>3650</v>
      </c>
      <c r="I40" s="69">
        <v>-0.05</v>
      </c>
      <c r="J40" s="25">
        <v>2664</v>
      </c>
      <c r="K40" s="70">
        <v>-18.63</v>
      </c>
      <c r="L40" s="92" t="s">
        <v>67</v>
      </c>
      <c r="M40" s="114" t="s">
        <v>66</v>
      </c>
      <c r="N40" s="24">
        <v>2752</v>
      </c>
      <c r="O40" s="70">
        <v>-22.81</v>
      </c>
      <c r="P40" s="25">
        <v>3563</v>
      </c>
      <c r="Q40" s="69">
        <v>-18.559999999999999</v>
      </c>
    </row>
    <row r="41" spans="1:17" s="83" customFormat="1" ht="12" customHeight="1" x14ac:dyDescent="0.4">
      <c r="A41" s="20" t="s">
        <v>41</v>
      </c>
      <c r="B41" s="21">
        <v>2459</v>
      </c>
      <c r="C41" s="67">
        <v>13.37</v>
      </c>
      <c r="D41" s="21">
        <v>2776</v>
      </c>
      <c r="E41" s="67">
        <v>-3.38</v>
      </c>
      <c r="F41" s="21">
        <v>2637</v>
      </c>
      <c r="G41" s="67">
        <v>14.06</v>
      </c>
      <c r="H41" s="22">
        <v>2728</v>
      </c>
      <c r="I41" s="86">
        <v>14.29</v>
      </c>
      <c r="J41" s="21">
        <v>2401</v>
      </c>
      <c r="K41" s="67">
        <v>13.9</v>
      </c>
      <c r="L41" s="21">
        <v>3687</v>
      </c>
      <c r="M41" s="67">
        <v>-17.59</v>
      </c>
      <c r="N41" s="21">
        <v>2121</v>
      </c>
      <c r="O41" s="67">
        <v>14.03</v>
      </c>
      <c r="P41" s="22">
        <v>2783</v>
      </c>
      <c r="Q41" s="86">
        <v>5.0199999999999996</v>
      </c>
    </row>
    <row r="42" spans="1:17" s="83" customFormat="1" ht="12" customHeight="1" x14ac:dyDescent="0.4">
      <c r="A42" s="27" t="s">
        <v>68</v>
      </c>
      <c r="B42" s="138" t="s">
        <v>67</v>
      </c>
      <c r="C42" s="110" t="s">
        <v>66</v>
      </c>
      <c r="D42" s="28">
        <v>7074</v>
      </c>
      <c r="E42" s="71">
        <v>-20.61</v>
      </c>
      <c r="F42" s="28">
        <v>7636</v>
      </c>
      <c r="G42" s="71">
        <v>-15.19</v>
      </c>
      <c r="H42" s="78">
        <v>7923</v>
      </c>
      <c r="I42" s="88">
        <v>-23</v>
      </c>
      <c r="J42" s="28">
        <v>7196</v>
      </c>
      <c r="K42" s="71">
        <v>-13.75</v>
      </c>
      <c r="L42" s="138" t="s">
        <v>67</v>
      </c>
      <c r="M42" s="110" t="s">
        <v>66</v>
      </c>
      <c r="N42" s="28">
        <v>6621</v>
      </c>
      <c r="O42" s="71">
        <v>-19.510000000000002</v>
      </c>
      <c r="P42" s="78">
        <v>7045</v>
      </c>
      <c r="Q42" s="88">
        <v>-18.36</v>
      </c>
    </row>
    <row r="43" spans="1:17" s="83" customFormat="1" ht="11.5" customHeight="1" x14ac:dyDescent="0.4">
      <c r="A43" s="94" t="s">
        <v>42</v>
      </c>
      <c r="B43" s="95"/>
      <c r="C43" s="96"/>
      <c r="D43" s="95"/>
      <c r="E43" s="96"/>
      <c r="F43" s="95"/>
      <c r="G43" s="96"/>
      <c r="H43" s="95"/>
      <c r="I43" s="96"/>
      <c r="J43" s="95"/>
      <c r="K43" s="96"/>
      <c r="L43" s="95"/>
      <c r="M43" s="96"/>
      <c r="N43" s="95"/>
      <c r="O43" s="96"/>
      <c r="P43" s="95"/>
      <c r="Q43" s="96"/>
    </row>
    <row r="44" spans="1:17" s="83" customFormat="1" ht="12" customHeight="1" x14ac:dyDescent="0.4">
      <c r="A44" s="23" t="s">
        <v>43</v>
      </c>
      <c r="B44" s="92" t="s">
        <v>67</v>
      </c>
      <c r="C44" s="106" t="s">
        <v>66</v>
      </c>
      <c r="D44" s="24">
        <v>713</v>
      </c>
      <c r="E44" s="70">
        <v>-25.03</v>
      </c>
      <c r="F44" s="24">
        <v>2212</v>
      </c>
      <c r="G44" s="70">
        <v>-19.53</v>
      </c>
      <c r="H44" s="92" t="s">
        <v>67</v>
      </c>
      <c r="I44" s="106" t="s">
        <v>66</v>
      </c>
      <c r="J44" s="24">
        <v>820</v>
      </c>
      <c r="K44" s="70">
        <v>-19.77</v>
      </c>
      <c r="L44" s="24">
        <v>3159</v>
      </c>
      <c r="M44" s="70">
        <v>-14.04</v>
      </c>
      <c r="N44" s="24">
        <v>2369</v>
      </c>
      <c r="O44" s="70">
        <v>1.63</v>
      </c>
      <c r="P44" s="25">
        <v>2148</v>
      </c>
      <c r="Q44" s="70">
        <v>0.61</v>
      </c>
    </row>
    <row r="45" spans="1:17" s="83" customFormat="1" ht="12" customHeight="1" x14ac:dyDescent="0.4">
      <c r="A45" s="20" t="s">
        <v>44</v>
      </c>
      <c r="B45" s="21">
        <v>1192</v>
      </c>
      <c r="C45" s="67">
        <v>-16.350000000000001</v>
      </c>
      <c r="D45" s="21">
        <v>1671</v>
      </c>
      <c r="E45" s="67">
        <v>-25.67</v>
      </c>
      <c r="F45" s="21">
        <v>1528</v>
      </c>
      <c r="G45" s="67">
        <v>-15.72</v>
      </c>
      <c r="H45" s="22">
        <v>1228</v>
      </c>
      <c r="I45" s="68">
        <v>-30.78</v>
      </c>
      <c r="J45" s="21">
        <v>1722</v>
      </c>
      <c r="K45" s="67">
        <v>-19.079999999999998</v>
      </c>
      <c r="L45" s="22">
        <v>1203</v>
      </c>
      <c r="M45" s="66">
        <v>-13.7</v>
      </c>
      <c r="N45" s="21">
        <v>2396</v>
      </c>
      <c r="O45" s="67">
        <v>-14.88</v>
      </c>
      <c r="P45" s="22">
        <v>1875</v>
      </c>
      <c r="Q45" s="68">
        <v>-17.579999999999998</v>
      </c>
    </row>
    <row r="46" spans="1:17" s="83" customFormat="1" ht="12" customHeight="1" x14ac:dyDescent="0.4">
      <c r="A46" s="23" t="s">
        <v>69</v>
      </c>
      <c r="B46" s="24">
        <v>4297</v>
      </c>
      <c r="C46" s="69">
        <v>24.99</v>
      </c>
      <c r="D46" s="24">
        <v>4617</v>
      </c>
      <c r="E46" s="70">
        <v>21.31</v>
      </c>
      <c r="F46" s="24">
        <v>2833</v>
      </c>
      <c r="G46" s="70">
        <v>-1.19</v>
      </c>
      <c r="H46" s="24">
        <v>4731</v>
      </c>
      <c r="I46" s="70">
        <v>27.76</v>
      </c>
      <c r="J46" s="24">
        <v>3469</v>
      </c>
      <c r="K46" s="70">
        <v>25.19</v>
      </c>
      <c r="L46" s="24">
        <v>2995</v>
      </c>
      <c r="M46" s="70">
        <v>6.62</v>
      </c>
      <c r="N46" s="24">
        <v>4016</v>
      </c>
      <c r="O46" s="70">
        <v>5.74</v>
      </c>
      <c r="P46" s="24">
        <v>3682</v>
      </c>
      <c r="Q46" s="70">
        <v>9.49</v>
      </c>
    </row>
    <row r="47" spans="1:17" s="83" customFormat="1" ht="12" customHeight="1" x14ac:dyDescent="0.4">
      <c r="A47" s="20" t="s">
        <v>45</v>
      </c>
      <c r="B47" s="21">
        <v>1788</v>
      </c>
      <c r="C47" s="67">
        <v>1.07</v>
      </c>
      <c r="D47" s="21">
        <v>2846</v>
      </c>
      <c r="E47" s="67">
        <v>19.43</v>
      </c>
      <c r="F47" s="21">
        <v>3047</v>
      </c>
      <c r="G47" s="67">
        <v>-15.53</v>
      </c>
      <c r="H47" s="22">
        <v>1512</v>
      </c>
      <c r="I47" s="68">
        <v>-12.95</v>
      </c>
      <c r="J47" s="21">
        <v>2487</v>
      </c>
      <c r="K47" s="67">
        <v>39.950000000000003</v>
      </c>
      <c r="L47" s="21">
        <v>3238</v>
      </c>
      <c r="M47" s="67">
        <v>9.58</v>
      </c>
      <c r="N47" s="21">
        <v>2624</v>
      </c>
      <c r="O47" s="67">
        <v>22.67</v>
      </c>
      <c r="P47" s="22">
        <v>2287</v>
      </c>
      <c r="Q47" s="68">
        <v>29.43</v>
      </c>
    </row>
    <row r="48" spans="1:17" s="83" customFormat="1" ht="12" customHeight="1" x14ac:dyDescent="0.4">
      <c r="A48" s="27" t="s">
        <v>46</v>
      </c>
      <c r="B48" s="28">
        <v>1024</v>
      </c>
      <c r="C48" s="71">
        <v>-5.36</v>
      </c>
      <c r="D48" s="28">
        <v>2069</v>
      </c>
      <c r="E48" s="71">
        <v>-9.5299999999999994</v>
      </c>
      <c r="F48" s="28">
        <v>1850</v>
      </c>
      <c r="G48" s="71">
        <v>-18.39</v>
      </c>
      <c r="H48" s="28">
        <v>910</v>
      </c>
      <c r="I48" s="71">
        <v>4.96</v>
      </c>
      <c r="J48" s="28">
        <v>1002</v>
      </c>
      <c r="K48" s="71">
        <v>1.52</v>
      </c>
      <c r="L48" s="28">
        <v>1820</v>
      </c>
      <c r="M48" s="71">
        <v>1.51</v>
      </c>
      <c r="N48" s="78">
        <v>1160</v>
      </c>
      <c r="O48" s="108">
        <v>3.11</v>
      </c>
      <c r="P48" s="28">
        <v>1000</v>
      </c>
      <c r="Q48" s="71">
        <v>-0.3</v>
      </c>
    </row>
    <row r="49" spans="1:25" s="83" customFormat="1" ht="11.5" customHeight="1" x14ac:dyDescent="0.4">
      <c r="A49" s="94" t="s">
        <v>70</v>
      </c>
      <c r="B49" s="95"/>
      <c r="C49" s="96"/>
      <c r="D49" s="95"/>
      <c r="E49" s="96"/>
      <c r="F49" s="95"/>
      <c r="G49" s="96"/>
      <c r="H49" s="95"/>
      <c r="I49" s="96"/>
      <c r="J49" s="95"/>
      <c r="K49" s="96"/>
      <c r="L49" s="95"/>
      <c r="M49" s="96"/>
      <c r="N49" s="95"/>
      <c r="O49" s="96"/>
      <c r="P49" s="95"/>
      <c r="Q49" s="96"/>
    </row>
    <row r="50" spans="1:25" s="83" customFormat="1" ht="12" customHeight="1" x14ac:dyDescent="0.4">
      <c r="A50" s="15" t="s">
        <v>71</v>
      </c>
      <c r="B50" s="29">
        <v>3992</v>
      </c>
      <c r="C50" s="74">
        <v>0.45</v>
      </c>
      <c r="D50" s="29">
        <v>3500</v>
      </c>
      <c r="E50" s="74">
        <v>-1.35</v>
      </c>
      <c r="F50" s="29">
        <v>4223</v>
      </c>
      <c r="G50" s="74">
        <v>0.55000000000000004</v>
      </c>
      <c r="H50" s="29">
        <v>3907</v>
      </c>
      <c r="I50" s="74">
        <v>-1.1599999999999999</v>
      </c>
      <c r="J50" s="29">
        <v>3782</v>
      </c>
      <c r="K50" s="74">
        <v>-2.48</v>
      </c>
      <c r="L50" s="29">
        <v>3800</v>
      </c>
      <c r="M50" s="74">
        <v>-2.84</v>
      </c>
      <c r="N50" s="29">
        <v>3942</v>
      </c>
      <c r="O50" s="74">
        <v>0.74</v>
      </c>
      <c r="P50" s="29">
        <v>4120</v>
      </c>
      <c r="Q50" s="74">
        <v>-1.08</v>
      </c>
    </row>
    <row r="51" spans="1:25" s="83" customFormat="1" ht="12" customHeight="1" x14ac:dyDescent="0.4">
      <c r="A51" s="30" t="s">
        <v>72</v>
      </c>
      <c r="B51" s="112" t="s">
        <v>67</v>
      </c>
      <c r="C51" s="64" t="s">
        <v>66</v>
      </c>
      <c r="D51" s="31">
        <v>3954</v>
      </c>
      <c r="E51" s="73">
        <v>1.65</v>
      </c>
      <c r="F51" s="31">
        <v>4399</v>
      </c>
      <c r="G51" s="73">
        <v>0</v>
      </c>
      <c r="H51" s="31">
        <v>4450</v>
      </c>
      <c r="I51" s="73">
        <v>-2.48</v>
      </c>
      <c r="J51" s="31">
        <v>4533</v>
      </c>
      <c r="K51" s="73">
        <v>-2.2000000000000002</v>
      </c>
      <c r="L51" s="31">
        <v>3517</v>
      </c>
      <c r="M51" s="73">
        <v>-1.4</v>
      </c>
      <c r="N51" s="31">
        <v>4017</v>
      </c>
      <c r="O51" s="73">
        <v>-1.3</v>
      </c>
      <c r="P51" s="31">
        <v>3822</v>
      </c>
      <c r="Q51" s="73">
        <v>3.02</v>
      </c>
    </row>
    <row r="52" spans="1:25" s="83" customFormat="1" ht="12" customHeight="1" x14ac:dyDescent="0.4">
      <c r="A52" s="15" t="s">
        <v>73</v>
      </c>
      <c r="B52" s="29">
        <v>7653</v>
      </c>
      <c r="C52" s="74">
        <v>0.64</v>
      </c>
      <c r="D52" s="29">
        <v>9131</v>
      </c>
      <c r="E52" s="74">
        <v>-8.06</v>
      </c>
      <c r="F52" s="29">
        <v>8370</v>
      </c>
      <c r="G52" s="74">
        <v>-4.8499999999999996</v>
      </c>
      <c r="H52" s="29">
        <v>8875</v>
      </c>
      <c r="I52" s="74">
        <v>2.9</v>
      </c>
      <c r="J52" s="29">
        <v>7125</v>
      </c>
      <c r="K52" s="74">
        <v>-8.18</v>
      </c>
      <c r="L52" s="29">
        <v>8192</v>
      </c>
      <c r="M52" s="74">
        <v>2.1800000000000002</v>
      </c>
      <c r="N52" s="29">
        <v>10125</v>
      </c>
      <c r="O52" s="74">
        <v>-5.27</v>
      </c>
      <c r="P52" s="29">
        <v>11760</v>
      </c>
      <c r="Q52" s="74">
        <v>1.64</v>
      </c>
    </row>
    <row r="53" spans="1:25" s="83" customFormat="1" ht="12" customHeight="1" x14ac:dyDescent="0.4">
      <c r="A53" s="30" t="s">
        <v>74</v>
      </c>
      <c r="B53" s="112" t="s">
        <v>67</v>
      </c>
      <c r="C53" s="64" t="s">
        <v>66</v>
      </c>
      <c r="D53" s="31">
        <v>8980</v>
      </c>
      <c r="E53" s="73">
        <v>13.46</v>
      </c>
      <c r="F53" s="31">
        <v>6965</v>
      </c>
      <c r="G53" s="73">
        <v>2.4900000000000002</v>
      </c>
      <c r="H53" s="112" t="s">
        <v>67</v>
      </c>
      <c r="I53" s="64" t="s">
        <v>66</v>
      </c>
      <c r="J53" s="112" t="s">
        <v>67</v>
      </c>
      <c r="K53" s="64" t="s">
        <v>66</v>
      </c>
      <c r="L53" s="31">
        <v>7083</v>
      </c>
      <c r="M53" s="73">
        <v>-1.28</v>
      </c>
      <c r="N53" s="31">
        <v>5948</v>
      </c>
      <c r="O53" s="73">
        <v>-6.09</v>
      </c>
      <c r="P53" s="31">
        <v>6564</v>
      </c>
      <c r="Q53" s="73">
        <v>-0.09</v>
      </c>
    </row>
    <row r="54" spans="1:25" s="83" customFormat="1" ht="12" customHeight="1" x14ac:dyDescent="0.4">
      <c r="A54" s="15" t="s">
        <v>75</v>
      </c>
      <c r="B54" s="29">
        <v>7037</v>
      </c>
      <c r="C54" s="74">
        <v>1</v>
      </c>
      <c r="D54" s="29">
        <v>6709</v>
      </c>
      <c r="E54" s="74">
        <v>1.96</v>
      </c>
      <c r="F54" s="29">
        <v>8122</v>
      </c>
      <c r="G54" s="74">
        <v>4.0999999999999996</v>
      </c>
      <c r="H54" s="29">
        <v>7300</v>
      </c>
      <c r="I54" s="74">
        <v>2.0099999999999998</v>
      </c>
      <c r="J54" s="29">
        <v>6700</v>
      </c>
      <c r="K54" s="74">
        <v>-9.1300000000000008</v>
      </c>
      <c r="L54" s="29">
        <v>6933</v>
      </c>
      <c r="M54" s="74">
        <v>0.84</v>
      </c>
      <c r="N54" s="29">
        <v>6754</v>
      </c>
      <c r="O54" s="74">
        <v>-4.3899999999999997</v>
      </c>
      <c r="P54" s="29">
        <v>7092</v>
      </c>
      <c r="Q54" s="74">
        <v>2.34</v>
      </c>
    </row>
    <row r="55" spans="1:25" s="83" customFormat="1" ht="12" customHeight="1" x14ac:dyDescent="0.4">
      <c r="A55" s="30" t="s">
        <v>76</v>
      </c>
      <c r="B55" s="31">
        <v>2402</v>
      </c>
      <c r="C55" s="73">
        <v>0.04</v>
      </c>
      <c r="D55" s="31">
        <v>2554</v>
      </c>
      <c r="E55" s="73">
        <v>24.34</v>
      </c>
      <c r="F55" s="112" t="s">
        <v>67</v>
      </c>
      <c r="G55" s="64" t="s">
        <v>66</v>
      </c>
      <c r="H55" s="31">
        <v>2988</v>
      </c>
      <c r="I55" s="75">
        <v>1.98</v>
      </c>
      <c r="J55" s="31">
        <v>2433</v>
      </c>
      <c r="K55" s="73">
        <v>1.67</v>
      </c>
      <c r="L55" s="31">
        <v>2983</v>
      </c>
      <c r="M55" s="73">
        <v>5.1100000000000003</v>
      </c>
      <c r="N55" s="31">
        <v>2275</v>
      </c>
      <c r="O55" s="73">
        <v>2.39</v>
      </c>
      <c r="P55" s="31">
        <v>2670</v>
      </c>
      <c r="Q55" s="73">
        <v>5.12</v>
      </c>
    </row>
    <row r="56" spans="1:25" s="84" customFormat="1" ht="12" customHeight="1" x14ac:dyDescent="0.45">
      <c r="A56" s="15" t="s">
        <v>77</v>
      </c>
      <c r="B56" s="139" t="s">
        <v>67</v>
      </c>
      <c r="C56" s="65" t="s">
        <v>66</v>
      </c>
      <c r="D56" s="29">
        <v>422</v>
      </c>
      <c r="E56" s="76">
        <v>-1.63</v>
      </c>
      <c r="F56" s="139" t="s">
        <v>67</v>
      </c>
      <c r="G56" s="87" t="s">
        <v>66</v>
      </c>
      <c r="H56" s="29">
        <v>471</v>
      </c>
      <c r="I56" s="74">
        <v>-6.55</v>
      </c>
      <c r="J56" s="29">
        <v>499</v>
      </c>
      <c r="K56" s="74">
        <v>-4.59</v>
      </c>
      <c r="L56" s="29">
        <v>437</v>
      </c>
      <c r="M56" s="74">
        <v>-0.23</v>
      </c>
      <c r="N56" s="29">
        <v>455</v>
      </c>
      <c r="O56" s="74">
        <v>-10.61</v>
      </c>
      <c r="P56" s="29">
        <v>500</v>
      </c>
      <c r="Q56" s="74">
        <v>0</v>
      </c>
      <c r="R56" s="104"/>
      <c r="S56" s="70"/>
      <c r="T56" s="104"/>
      <c r="U56" s="70"/>
      <c r="V56" s="104"/>
      <c r="W56" s="69"/>
      <c r="X56" s="104"/>
      <c r="Y56" s="70"/>
    </row>
    <row r="57" spans="1:25" s="35" customFormat="1" ht="12" customHeight="1" x14ac:dyDescent="0.45">
      <c r="A57" s="30" t="s">
        <v>78</v>
      </c>
      <c r="B57" s="31">
        <v>15733</v>
      </c>
      <c r="C57" s="85">
        <v>9.1300000000000008</v>
      </c>
      <c r="D57" s="31">
        <v>17725</v>
      </c>
      <c r="E57" s="73">
        <v>5.04</v>
      </c>
      <c r="F57" s="31">
        <v>21750</v>
      </c>
      <c r="G57" s="73">
        <v>2.35</v>
      </c>
      <c r="H57" s="31">
        <v>15550</v>
      </c>
      <c r="I57" s="85">
        <v>-0.48</v>
      </c>
      <c r="J57" s="31">
        <v>18667</v>
      </c>
      <c r="K57" s="73">
        <v>-0.35</v>
      </c>
      <c r="L57" s="31">
        <v>22750</v>
      </c>
      <c r="M57" s="73">
        <v>1.87</v>
      </c>
      <c r="N57" s="31">
        <v>23240</v>
      </c>
      <c r="O57" s="73">
        <v>3.11</v>
      </c>
      <c r="P57" s="112" t="s">
        <v>67</v>
      </c>
      <c r="Q57" s="64" t="s">
        <v>66</v>
      </c>
      <c r="S57" s="77"/>
      <c r="U57" s="77"/>
      <c r="W57" s="77"/>
      <c r="Y57" s="77"/>
    </row>
    <row r="58" spans="1:25" s="35" customFormat="1" ht="12" customHeight="1" x14ac:dyDescent="0.45">
      <c r="A58" s="15" t="s">
        <v>79</v>
      </c>
      <c r="B58" s="29">
        <v>17533</v>
      </c>
      <c r="C58" s="74">
        <v>0.19</v>
      </c>
      <c r="D58" s="29">
        <v>19155</v>
      </c>
      <c r="E58" s="74">
        <v>0.32</v>
      </c>
      <c r="F58" s="139" t="s">
        <v>67</v>
      </c>
      <c r="G58" s="65" t="s">
        <v>66</v>
      </c>
      <c r="H58" s="29">
        <v>16395</v>
      </c>
      <c r="I58" s="100">
        <v>-0.24</v>
      </c>
      <c r="J58" s="29">
        <v>23310</v>
      </c>
      <c r="K58" s="74">
        <v>0.67</v>
      </c>
      <c r="L58" s="90">
        <v>19933</v>
      </c>
      <c r="M58" s="87">
        <v>0.71</v>
      </c>
      <c r="N58" s="29">
        <v>23450</v>
      </c>
      <c r="O58" s="74">
        <v>3.3</v>
      </c>
      <c r="P58" s="29">
        <v>20500</v>
      </c>
      <c r="Q58" s="74">
        <v>0</v>
      </c>
      <c r="S58" s="77"/>
      <c r="U58" s="77"/>
      <c r="W58" s="77"/>
      <c r="Y58" s="77"/>
    </row>
    <row r="59" spans="1:25" s="35" customFormat="1" ht="12" customHeight="1" x14ac:dyDescent="0.45">
      <c r="A59" s="30" t="s">
        <v>80</v>
      </c>
      <c r="B59" s="31">
        <v>39667</v>
      </c>
      <c r="C59" s="73">
        <v>0.42</v>
      </c>
      <c r="D59" s="31">
        <v>41500</v>
      </c>
      <c r="E59" s="73">
        <v>-2.92</v>
      </c>
      <c r="F59" s="31">
        <v>80820</v>
      </c>
      <c r="G59" s="73">
        <v>-0.1</v>
      </c>
      <c r="H59" s="31">
        <v>44605</v>
      </c>
      <c r="I59" s="73">
        <v>-0.04</v>
      </c>
      <c r="J59" s="112" t="s">
        <v>67</v>
      </c>
      <c r="K59" s="112" t="s">
        <v>66</v>
      </c>
      <c r="L59" s="31">
        <v>35200</v>
      </c>
      <c r="M59" s="73">
        <v>-0.38</v>
      </c>
      <c r="N59" s="31">
        <v>56020</v>
      </c>
      <c r="O59" s="73">
        <v>-2.82</v>
      </c>
      <c r="P59" s="31">
        <v>36200</v>
      </c>
      <c r="Q59" s="73">
        <v>0.56000000000000005</v>
      </c>
      <c r="S59" s="77"/>
      <c r="U59" s="77"/>
      <c r="W59" s="77"/>
      <c r="Y59" s="77"/>
    </row>
    <row r="60" spans="1:25" s="35" customFormat="1" ht="12" customHeight="1" x14ac:dyDescent="0.45">
      <c r="A60" s="15" t="s">
        <v>81</v>
      </c>
      <c r="B60" s="29">
        <v>13280</v>
      </c>
      <c r="C60" s="74">
        <v>1.57</v>
      </c>
      <c r="D60" s="90">
        <v>16295</v>
      </c>
      <c r="E60" s="76">
        <v>-0.37</v>
      </c>
      <c r="F60" s="90">
        <v>16553</v>
      </c>
      <c r="G60" s="76">
        <v>1.35</v>
      </c>
      <c r="H60" s="29">
        <v>13195</v>
      </c>
      <c r="I60" s="74">
        <v>1.7</v>
      </c>
      <c r="J60" s="29">
        <v>14410</v>
      </c>
      <c r="K60" s="74">
        <v>0.24</v>
      </c>
      <c r="L60" s="90">
        <v>12380</v>
      </c>
      <c r="M60" s="76">
        <v>-0.9</v>
      </c>
      <c r="N60" s="29">
        <v>17520</v>
      </c>
      <c r="O60" s="74">
        <v>9.1199999999999992</v>
      </c>
      <c r="P60" s="139" t="s">
        <v>67</v>
      </c>
      <c r="Q60" s="65" t="s">
        <v>66</v>
      </c>
      <c r="S60" s="77"/>
      <c r="U60" s="77"/>
      <c r="W60" s="77"/>
      <c r="Y60" s="77"/>
    </row>
    <row r="61" spans="1:25" s="35" customFormat="1" ht="12" customHeight="1" x14ac:dyDescent="0.45">
      <c r="A61" s="30" t="s">
        <v>82</v>
      </c>
      <c r="B61" s="31">
        <v>20417</v>
      </c>
      <c r="C61" s="73">
        <v>20.89</v>
      </c>
      <c r="D61" s="93">
        <v>18650</v>
      </c>
      <c r="E61" s="75">
        <v>-0.53</v>
      </c>
      <c r="F61" s="93">
        <v>14505</v>
      </c>
      <c r="G61" s="75">
        <v>-9.6300000000000008</v>
      </c>
      <c r="H61" s="31">
        <v>14625</v>
      </c>
      <c r="I61" s="73">
        <v>-17.46</v>
      </c>
      <c r="J61" s="79" t="s">
        <v>67</v>
      </c>
      <c r="K61" s="73" t="s">
        <v>66</v>
      </c>
      <c r="L61" s="93">
        <v>15762</v>
      </c>
      <c r="M61" s="75">
        <v>-10.99</v>
      </c>
      <c r="N61" s="79" t="s">
        <v>67</v>
      </c>
      <c r="O61" s="73" t="s">
        <v>66</v>
      </c>
      <c r="P61" s="112" t="s">
        <v>67</v>
      </c>
      <c r="Q61" s="64" t="s">
        <v>66</v>
      </c>
      <c r="S61" s="77"/>
      <c r="U61" s="77"/>
      <c r="W61" s="77"/>
      <c r="Y61" s="77"/>
    </row>
    <row r="62" spans="1:25" s="35" customFormat="1" ht="12" customHeight="1" x14ac:dyDescent="0.45">
      <c r="A62" s="15" t="s">
        <v>83</v>
      </c>
      <c r="B62" s="29">
        <v>6943</v>
      </c>
      <c r="C62" s="74">
        <v>0.04</v>
      </c>
      <c r="D62" s="90">
        <v>8460</v>
      </c>
      <c r="E62" s="100">
        <v>-2.99</v>
      </c>
      <c r="F62" s="29">
        <v>8028</v>
      </c>
      <c r="G62" s="74">
        <v>0.05</v>
      </c>
      <c r="H62" s="29">
        <v>7150</v>
      </c>
      <c r="I62" s="76">
        <v>0.13</v>
      </c>
      <c r="J62" s="29">
        <v>11024</v>
      </c>
      <c r="K62" s="74">
        <v>-2.06</v>
      </c>
      <c r="L62" s="139" t="s">
        <v>67</v>
      </c>
      <c r="M62" s="65" t="s">
        <v>66</v>
      </c>
      <c r="N62" s="29">
        <v>7368</v>
      </c>
      <c r="O62" s="74">
        <v>2.91</v>
      </c>
      <c r="P62" s="29">
        <v>6707</v>
      </c>
      <c r="Q62" s="74">
        <v>0</v>
      </c>
      <c r="S62" s="77"/>
      <c r="U62" s="77"/>
      <c r="W62" s="77"/>
      <c r="Y62" s="77"/>
    </row>
    <row r="63" spans="1:25" s="35" customFormat="1" ht="12" customHeight="1" x14ac:dyDescent="0.45">
      <c r="A63" s="30" t="s">
        <v>84</v>
      </c>
      <c r="B63" s="31">
        <v>3698</v>
      </c>
      <c r="C63" s="73">
        <v>0.19</v>
      </c>
      <c r="D63" s="31">
        <v>3747</v>
      </c>
      <c r="E63" s="73">
        <v>-0.72</v>
      </c>
      <c r="F63" s="31">
        <v>3820</v>
      </c>
      <c r="G63" s="73">
        <v>0</v>
      </c>
      <c r="H63" s="31">
        <v>3341</v>
      </c>
      <c r="I63" s="73">
        <v>-2.11</v>
      </c>
      <c r="J63" s="31">
        <v>3530</v>
      </c>
      <c r="K63" s="73">
        <v>-5.29</v>
      </c>
      <c r="L63" s="112" t="s">
        <v>67</v>
      </c>
      <c r="M63" s="64" t="s">
        <v>66</v>
      </c>
      <c r="N63" s="31">
        <v>3883</v>
      </c>
      <c r="O63" s="73">
        <v>0.13</v>
      </c>
      <c r="P63" s="112" t="s">
        <v>67</v>
      </c>
      <c r="Q63" s="64" t="s">
        <v>66</v>
      </c>
      <c r="S63" s="77"/>
      <c r="U63" s="77"/>
      <c r="W63" s="77"/>
      <c r="Y63" s="77"/>
    </row>
    <row r="64" spans="1:25" s="35" customFormat="1" ht="12" customHeight="1" x14ac:dyDescent="0.45">
      <c r="A64" s="15" t="s">
        <v>85</v>
      </c>
      <c r="B64" s="29">
        <v>14334</v>
      </c>
      <c r="C64" s="74">
        <v>0.21</v>
      </c>
      <c r="D64" s="29">
        <v>14577</v>
      </c>
      <c r="E64" s="74">
        <v>-0.54</v>
      </c>
      <c r="F64" s="29">
        <v>18452</v>
      </c>
      <c r="G64" s="74">
        <v>5.31</v>
      </c>
      <c r="H64" s="29">
        <v>13930</v>
      </c>
      <c r="I64" s="74">
        <v>0.15</v>
      </c>
      <c r="J64" s="29">
        <v>16675</v>
      </c>
      <c r="K64" s="74">
        <v>-2.97</v>
      </c>
      <c r="L64" s="90">
        <v>16238</v>
      </c>
      <c r="M64" s="87">
        <v>-0.99</v>
      </c>
      <c r="N64" s="29">
        <v>13977</v>
      </c>
      <c r="O64" s="74">
        <v>-0.55000000000000004</v>
      </c>
      <c r="P64" s="90">
        <v>15963</v>
      </c>
      <c r="Q64" s="87">
        <v>-5.45</v>
      </c>
      <c r="S64" s="77"/>
      <c r="U64" s="77"/>
      <c r="W64" s="77"/>
      <c r="Y64" s="77"/>
    </row>
    <row r="65" spans="1:25" s="35" customFormat="1" ht="12" customHeight="1" x14ac:dyDescent="0.45">
      <c r="A65" s="30" t="s">
        <v>86</v>
      </c>
      <c r="B65" s="31">
        <v>2975</v>
      </c>
      <c r="C65" s="73">
        <v>0</v>
      </c>
      <c r="D65" s="31">
        <v>2730</v>
      </c>
      <c r="E65" s="73">
        <v>-0.47</v>
      </c>
      <c r="F65" s="31">
        <v>3622</v>
      </c>
      <c r="G65" s="73">
        <v>-2.29</v>
      </c>
      <c r="H65" s="31">
        <v>2415</v>
      </c>
      <c r="I65" s="73">
        <v>-0.57999999999999996</v>
      </c>
      <c r="J65" s="31">
        <v>4667</v>
      </c>
      <c r="K65" s="73">
        <v>2.35</v>
      </c>
      <c r="L65" s="31">
        <v>3183</v>
      </c>
      <c r="M65" s="85">
        <v>-0.53</v>
      </c>
      <c r="N65" s="31">
        <v>3581</v>
      </c>
      <c r="O65" s="73">
        <v>0.67</v>
      </c>
      <c r="P65" s="31">
        <v>3650</v>
      </c>
      <c r="Q65" s="73">
        <v>0</v>
      </c>
      <c r="S65" s="77"/>
      <c r="U65" s="77"/>
      <c r="W65" s="77"/>
      <c r="Y65" s="77"/>
    </row>
    <row r="66" spans="1:25" s="35" customFormat="1" ht="12" customHeight="1" x14ac:dyDescent="0.45">
      <c r="A66" s="15" t="s">
        <v>87</v>
      </c>
      <c r="B66" s="29">
        <v>2959</v>
      </c>
      <c r="C66" s="74">
        <v>0.99</v>
      </c>
      <c r="D66" s="29">
        <v>3772</v>
      </c>
      <c r="E66" s="74">
        <v>-6.19</v>
      </c>
      <c r="F66" s="29">
        <v>3325</v>
      </c>
      <c r="G66" s="74">
        <v>4.13</v>
      </c>
      <c r="H66" s="29">
        <v>3458</v>
      </c>
      <c r="I66" s="74">
        <v>0</v>
      </c>
      <c r="J66" s="29">
        <v>4722</v>
      </c>
      <c r="K66" s="74">
        <v>-3.14</v>
      </c>
      <c r="L66" s="29">
        <v>2838</v>
      </c>
      <c r="M66" s="87">
        <v>3.05</v>
      </c>
      <c r="N66" s="139" t="s">
        <v>67</v>
      </c>
      <c r="O66" s="121" t="s">
        <v>66</v>
      </c>
      <c r="P66" s="29">
        <v>3568</v>
      </c>
      <c r="Q66" s="74">
        <v>0.08</v>
      </c>
      <c r="S66" s="77"/>
      <c r="U66" s="77"/>
      <c r="W66" s="77"/>
      <c r="Y66" s="77"/>
    </row>
    <row r="67" spans="1:25" s="35" customFormat="1" ht="12" customHeight="1" x14ac:dyDescent="0.45">
      <c r="A67" s="30" t="s">
        <v>88</v>
      </c>
      <c r="B67" s="31">
        <v>39993</v>
      </c>
      <c r="C67" s="73">
        <v>1.61</v>
      </c>
      <c r="D67" s="31">
        <v>37681</v>
      </c>
      <c r="E67" s="85">
        <v>-1.34</v>
      </c>
      <c r="F67" s="112" t="s">
        <v>67</v>
      </c>
      <c r="G67" s="111" t="s">
        <v>66</v>
      </c>
      <c r="H67" s="31">
        <v>36778</v>
      </c>
      <c r="I67" s="73">
        <v>-0.68</v>
      </c>
      <c r="J67" s="31">
        <v>38194</v>
      </c>
      <c r="K67" s="75">
        <v>0.61</v>
      </c>
      <c r="L67" s="112" t="s">
        <v>67</v>
      </c>
      <c r="M67" s="111" t="s">
        <v>66</v>
      </c>
      <c r="N67" s="93">
        <v>34750</v>
      </c>
      <c r="O67" s="85">
        <v>-2.0299999999999998</v>
      </c>
      <c r="P67" s="112" t="s">
        <v>67</v>
      </c>
      <c r="Q67" s="111" t="s">
        <v>66</v>
      </c>
      <c r="R67" s="105"/>
      <c r="S67" s="37"/>
      <c r="T67" s="105"/>
      <c r="U67" s="37"/>
      <c r="V67" s="105"/>
      <c r="W67" s="37"/>
      <c r="X67" s="105"/>
      <c r="Y67" s="37"/>
    </row>
    <row r="68" spans="1:25" s="35" customFormat="1" ht="12" customHeight="1" x14ac:dyDescent="0.45">
      <c r="A68" s="15" t="s">
        <v>89</v>
      </c>
      <c r="B68" s="29">
        <v>37746</v>
      </c>
      <c r="C68" s="74">
        <v>7.0000000000000007E-2</v>
      </c>
      <c r="D68" s="29">
        <v>28669</v>
      </c>
      <c r="E68" s="76">
        <v>1.7</v>
      </c>
      <c r="F68" s="90">
        <v>36324</v>
      </c>
      <c r="G68" s="100">
        <v>0</v>
      </c>
      <c r="H68" s="139" t="s">
        <v>67</v>
      </c>
      <c r="I68" s="121" t="s">
        <v>66</v>
      </c>
      <c r="J68" s="29">
        <v>30535</v>
      </c>
      <c r="K68" s="76">
        <v>5.73</v>
      </c>
      <c r="L68" s="90">
        <v>29994</v>
      </c>
      <c r="M68" s="87">
        <v>3.49</v>
      </c>
      <c r="N68" s="29">
        <v>29977</v>
      </c>
      <c r="O68" s="74">
        <v>-0.99</v>
      </c>
      <c r="P68" s="90">
        <v>37747</v>
      </c>
      <c r="Q68" s="87">
        <v>2.62</v>
      </c>
      <c r="R68" s="105"/>
      <c r="S68" s="37"/>
      <c r="T68" s="105"/>
      <c r="U68" s="37"/>
      <c r="V68" s="105"/>
      <c r="W68" s="37"/>
      <c r="X68" s="105"/>
      <c r="Y68" s="37"/>
    </row>
    <row r="69" spans="1:25" s="35" customFormat="1" ht="12" customHeight="1" x14ac:dyDescent="0.45">
      <c r="A69" s="30" t="s">
        <v>90</v>
      </c>
      <c r="B69" s="31">
        <v>16164</v>
      </c>
      <c r="C69" s="98">
        <v>0.09</v>
      </c>
      <c r="D69" s="31">
        <v>14403</v>
      </c>
      <c r="E69" s="73">
        <v>1.17</v>
      </c>
      <c r="F69" s="31">
        <v>17373</v>
      </c>
      <c r="G69" s="73">
        <v>2.4</v>
      </c>
      <c r="H69" s="112" t="s">
        <v>67</v>
      </c>
      <c r="I69" s="64" t="s">
        <v>66</v>
      </c>
      <c r="J69" s="31">
        <v>25625</v>
      </c>
      <c r="K69" s="73">
        <v>-2.59</v>
      </c>
      <c r="L69" s="112" t="s">
        <v>67</v>
      </c>
      <c r="M69" s="111" t="s">
        <v>66</v>
      </c>
      <c r="N69" s="31">
        <v>14360</v>
      </c>
      <c r="O69" s="73">
        <v>0.34</v>
      </c>
      <c r="P69" s="141">
        <v>13453</v>
      </c>
      <c r="Q69" s="111" t="s">
        <v>66</v>
      </c>
      <c r="R69" s="105"/>
      <c r="S69" s="37"/>
      <c r="T69" s="105"/>
      <c r="U69" s="37"/>
      <c r="V69" s="105"/>
      <c r="W69" s="37"/>
      <c r="X69" s="105"/>
      <c r="Y69" s="37"/>
    </row>
    <row r="70" spans="1:25" s="35" customFormat="1" ht="12" customHeight="1" x14ac:dyDescent="0.45">
      <c r="A70" s="15" t="s">
        <v>91</v>
      </c>
      <c r="B70" s="90">
        <v>5060</v>
      </c>
      <c r="C70" s="87">
        <v>2.04</v>
      </c>
      <c r="D70" s="29">
        <v>4120</v>
      </c>
      <c r="E70" s="74">
        <v>-0.63</v>
      </c>
      <c r="F70" s="29">
        <v>4138</v>
      </c>
      <c r="G70" s="74">
        <v>0.46</v>
      </c>
      <c r="H70" s="139" t="s">
        <v>67</v>
      </c>
      <c r="I70" s="65" t="s">
        <v>66</v>
      </c>
      <c r="J70" s="29">
        <v>5833</v>
      </c>
      <c r="K70" s="74">
        <v>3.13</v>
      </c>
      <c r="L70" s="90">
        <v>4349</v>
      </c>
      <c r="M70" s="87">
        <v>7.14</v>
      </c>
      <c r="N70" s="29">
        <v>4914</v>
      </c>
      <c r="O70" s="74">
        <v>3.11</v>
      </c>
      <c r="P70" s="90">
        <v>5480</v>
      </c>
      <c r="Q70" s="76">
        <v>1.1599999999999999</v>
      </c>
      <c r="R70" s="105"/>
      <c r="S70" s="37"/>
      <c r="T70" s="105"/>
      <c r="U70" s="37"/>
      <c r="V70" s="105"/>
      <c r="W70" s="37"/>
      <c r="X70" s="105"/>
      <c r="Y70" s="37"/>
    </row>
    <row r="71" spans="1:25" s="35" customFormat="1" ht="12" customHeight="1" x14ac:dyDescent="0.45">
      <c r="A71" s="30" t="s">
        <v>92</v>
      </c>
      <c r="B71" s="31">
        <v>6873</v>
      </c>
      <c r="C71" s="73">
        <v>0.5</v>
      </c>
      <c r="D71" s="31">
        <v>7475</v>
      </c>
      <c r="E71" s="73">
        <v>1.22</v>
      </c>
      <c r="F71" s="31">
        <v>7186</v>
      </c>
      <c r="G71" s="73">
        <v>2.44</v>
      </c>
      <c r="H71" s="93">
        <v>6583</v>
      </c>
      <c r="I71" s="73">
        <v>0</v>
      </c>
      <c r="J71" s="31">
        <v>7743</v>
      </c>
      <c r="K71" s="73">
        <v>-0.45</v>
      </c>
      <c r="L71" s="93">
        <v>3264</v>
      </c>
      <c r="M71" s="85">
        <v>-1.27</v>
      </c>
      <c r="N71" s="31">
        <v>7250</v>
      </c>
      <c r="O71" s="73">
        <v>0.78</v>
      </c>
      <c r="P71" s="31">
        <v>6208</v>
      </c>
      <c r="Q71" s="73">
        <v>7.03</v>
      </c>
      <c r="S71" s="77"/>
      <c r="U71" s="77"/>
      <c r="W71" s="77"/>
      <c r="Y71" s="77"/>
    </row>
    <row r="72" spans="1:25" s="35" customFormat="1" ht="12" customHeight="1" x14ac:dyDescent="0.45">
      <c r="A72" s="15" t="s">
        <v>93</v>
      </c>
      <c r="B72" s="29">
        <v>20576</v>
      </c>
      <c r="C72" s="74">
        <v>-7.0000000000000007E-2</v>
      </c>
      <c r="D72" s="29">
        <v>19492</v>
      </c>
      <c r="E72" s="74">
        <v>1.07</v>
      </c>
      <c r="F72" s="29">
        <v>16887</v>
      </c>
      <c r="G72" s="74">
        <v>-0.28000000000000003</v>
      </c>
      <c r="H72" s="29">
        <v>20521</v>
      </c>
      <c r="I72" s="74">
        <v>0.28000000000000003</v>
      </c>
      <c r="J72" s="29">
        <v>22222</v>
      </c>
      <c r="K72" s="74">
        <v>0.21</v>
      </c>
      <c r="L72" s="29">
        <v>20321</v>
      </c>
      <c r="M72" s="74">
        <v>-7.0000000000000007E-2</v>
      </c>
      <c r="N72" s="29">
        <v>21609</v>
      </c>
      <c r="O72" s="74">
        <v>-0.28000000000000003</v>
      </c>
      <c r="P72" s="139" t="s">
        <v>67</v>
      </c>
      <c r="Q72" s="121" t="s">
        <v>66</v>
      </c>
      <c r="S72" s="77"/>
      <c r="U72" s="77"/>
      <c r="W72" s="77"/>
      <c r="Y72" s="77"/>
    </row>
    <row r="73" spans="1:25" s="35" customFormat="1" x14ac:dyDescent="0.45">
      <c r="A73" s="142" t="s">
        <v>94</v>
      </c>
      <c r="B73" s="143">
        <v>11760</v>
      </c>
      <c r="C73" s="144">
        <v>0.47</v>
      </c>
      <c r="D73" s="143">
        <v>15634</v>
      </c>
      <c r="E73" s="145">
        <v>-1.22</v>
      </c>
      <c r="F73" s="146" t="s">
        <v>67</v>
      </c>
      <c r="G73" s="147" t="s">
        <v>66</v>
      </c>
      <c r="H73" s="143">
        <v>10019</v>
      </c>
      <c r="I73" s="144">
        <v>-1.73</v>
      </c>
      <c r="J73" s="143">
        <v>14542</v>
      </c>
      <c r="K73" s="144">
        <v>2.42</v>
      </c>
      <c r="L73" s="148">
        <v>17010</v>
      </c>
      <c r="M73" s="149">
        <v>0.39</v>
      </c>
      <c r="N73" s="146" t="s">
        <v>67</v>
      </c>
      <c r="O73" s="150" t="s">
        <v>66</v>
      </c>
      <c r="P73" s="143">
        <v>17588</v>
      </c>
      <c r="Q73" s="151" t="s">
        <v>66</v>
      </c>
      <c r="R73" s="32"/>
      <c r="S73" s="33"/>
      <c r="T73" s="32"/>
      <c r="U73" s="33"/>
      <c r="V73" s="32"/>
      <c r="W73" s="33"/>
      <c r="X73" s="32"/>
      <c r="Y73" s="33"/>
    </row>
    <row r="74" spans="1:25" s="35" customFormat="1" x14ac:dyDescent="0.45">
      <c r="A74" s="30"/>
      <c r="B74" s="31"/>
      <c r="C74" s="73"/>
      <c r="D74" s="31"/>
      <c r="E74" s="98"/>
      <c r="F74" s="112"/>
      <c r="G74" s="111"/>
      <c r="H74" s="31"/>
      <c r="I74" s="73"/>
      <c r="J74" s="31"/>
      <c r="K74" s="73"/>
      <c r="L74" s="93"/>
      <c r="M74" s="75"/>
      <c r="N74" s="112"/>
      <c r="O74" s="152"/>
      <c r="P74" s="31"/>
      <c r="Q74" s="64"/>
      <c r="R74" s="32"/>
      <c r="S74" s="33"/>
      <c r="T74" s="32"/>
      <c r="U74" s="33"/>
      <c r="V74" s="32"/>
      <c r="W74" s="33"/>
      <c r="X74" s="32"/>
      <c r="Y74" s="33"/>
    </row>
    <row r="75" spans="1:25" s="35" customFormat="1" x14ac:dyDescent="0.45">
      <c r="A75" s="131" t="s">
        <v>62</v>
      </c>
      <c r="B75" s="29"/>
      <c r="C75" s="74"/>
      <c r="D75" s="90"/>
      <c r="E75" s="76"/>
      <c r="F75" s="89"/>
      <c r="G75" s="65"/>
      <c r="H75" s="29"/>
      <c r="I75" s="74"/>
      <c r="J75" s="29"/>
      <c r="K75" s="74"/>
      <c r="L75" s="90"/>
      <c r="M75" s="87"/>
      <c r="N75" s="89"/>
      <c r="O75" s="91"/>
      <c r="P75" s="29"/>
      <c r="Q75" s="74"/>
      <c r="R75" s="32"/>
      <c r="S75" s="33"/>
      <c r="T75" s="32"/>
      <c r="U75" s="33"/>
      <c r="V75" s="32"/>
      <c r="W75" s="33"/>
      <c r="X75" s="32"/>
      <c r="Y75" s="33"/>
    </row>
    <row r="76" spans="1:25" s="35" customFormat="1" x14ac:dyDescent="0.45">
      <c r="A76" s="23" t="s">
        <v>12</v>
      </c>
      <c r="B76" s="36"/>
      <c r="C76" s="37"/>
      <c r="D76" s="36"/>
      <c r="E76" s="37"/>
      <c r="F76" s="36"/>
      <c r="G76" s="37"/>
      <c r="H76" s="36"/>
      <c r="I76" s="37"/>
      <c r="J76" s="36"/>
      <c r="K76" s="37"/>
      <c r="L76" s="36"/>
      <c r="M76" s="37"/>
      <c r="N76" s="36"/>
      <c r="O76" s="37"/>
      <c r="P76" s="36"/>
      <c r="Q76" s="37"/>
      <c r="R76" s="36"/>
      <c r="S76" s="37"/>
      <c r="T76" s="36"/>
      <c r="U76" s="37"/>
      <c r="V76" s="36"/>
      <c r="W76" s="37"/>
      <c r="X76" s="36"/>
      <c r="Y76" s="37"/>
    </row>
    <row r="77" spans="1:25" s="35" customFormat="1" x14ac:dyDescent="0.45">
      <c r="A77" s="38" t="s">
        <v>13</v>
      </c>
      <c r="B77" s="36"/>
      <c r="C77" s="37"/>
      <c r="D77" s="36"/>
      <c r="E77" s="37"/>
      <c r="F77" s="36"/>
      <c r="G77" s="37"/>
      <c r="H77" s="36"/>
      <c r="I77" s="37"/>
      <c r="J77" s="36"/>
      <c r="K77" s="37"/>
      <c r="L77" s="36"/>
      <c r="M77" s="37"/>
      <c r="N77" s="36"/>
      <c r="O77" s="37"/>
      <c r="P77" s="36"/>
      <c r="Q77" s="37"/>
      <c r="R77" s="36"/>
      <c r="S77" s="37"/>
      <c r="T77" s="36"/>
      <c r="U77" s="37"/>
      <c r="V77" s="36"/>
      <c r="W77" s="37"/>
      <c r="X77" s="36"/>
      <c r="Y77" s="37"/>
    </row>
    <row r="78" spans="1:25" s="35" customFormat="1" ht="19.5" customHeight="1" x14ac:dyDescent="0.45">
      <c r="A78" s="180" t="s">
        <v>49</v>
      </c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</row>
    <row r="79" spans="1:25" s="35" customFormat="1" x14ac:dyDescent="0.45">
      <c r="A79" s="23" t="s">
        <v>14</v>
      </c>
      <c r="B79" s="39"/>
      <c r="C79" s="40"/>
      <c r="D79" s="41"/>
      <c r="E79" s="40"/>
      <c r="F79" s="41"/>
      <c r="G79" s="40"/>
      <c r="H79" s="42"/>
      <c r="I79" s="40"/>
      <c r="J79" s="39"/>
      <c r="K79" s="40"/>
      <c r="L79" s="41"/>
      <c r="M79" s="40"/>
      <c r="N79" s="41"/>
      <c r="O79" s="40"/>
      <c r="P79" s="42"/>
      <c r="Q79" s="40"/>
      <c r="R79" s="41"/>
      <c r="S79" s="43"/>
      <c r="T79" s="41"/>
      <c r="U79" s="43"/>
      <c r="V79" s="41"/>
      <c r="W79" s="43"/>
      <c r="X79" s="41"/>
      <c r="Y79" s="43"/>
    </row>
    <row r="80" spans="1:25" s="35" customFormat="1" x14ac:dyDescent="0.45">
      <c r="A80" s="44" t="s">
        <v>15</v>
      </c>
      <c r="B80" s="36"/>
      <c r="C80" s="37"/>
      <c r="D80" s="36"/>
      <c r="E80" s="37"/>
      <c r="F80" s="36"/>
      <c r="G80" s="37"/>
      <c r="H80" s="36"/>
      <c r="I80" s="37"/>
      <c r="J80" s="36"/>
      <c r="K80" s="37"/>
      <c r="L80" s="36"/>
      <c r="M80" s="37"/>
      <c r="N80" s="36"/>
      <c r="O80" s="37"/>
      <c r="P80" s="36"/>
      <c r="Q80" s="37"/>
      <c r="R80" s="36"/>
      <c r="S80" s="37"/>
      <c r="T80" s="36"/>
      <c r="U80" s="37"/>
      <c r="V80" s="36"/>
      <c r="W80" s="37"/>
      <c r="X80" s="36"/>
      <c r="Y80" s="37"/>
    </row>
    <row r="82" spans="1:17" x14ac:dyDescent="0.45">
      <c r="A82" s="8" t="str">
        <f>+Índice!A14</f>
        <v>Fecha de actualización: 12 de noviembre de 2024</v>
      </c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</row>
  </sheetData>
  <mergeCells count="11">
    <mergeCell ref="A78:Y78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hyperlinks>
    <hyperlink ref="S5" location="Índice!A1" display="Regresar al índice" xr:uid="{172CDF23-0751-4F6A-B5E0-48C27F080073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Y57"/>
  <sheetViews>
    <sheetView showGridLines="0" zoomScale="85" zoomScaleNormal="85" workbookViewId="0">
      <selection activeCell="A4" sqref="A4:I5"/>
    </sheetView>
  </sheetViews>
  <sheetFormatPr baseColWidth="10" defaultColWidth="11.453125" defaultRowHeight="16" x14ac:dyDescent="0.45"/>
  <cols>
    <col min="1" max="1" width="24.453125" style="51" customWidth="1"/>
    <col min="2" max="2" width="12" style="51" bestFit="1" customWidth="1"/>
    <col min="3" max="3" width="9.453125" style="51" customWidth="1"/>
    <col min="4" max="4" width="13.54296875" style="51" bestFit="1" customWidth="1"/>
    <col min="5" max="5" width="12" style="51" customWidth="1"/>
    <col min="6" max="6" width="10.26953125" style="51" customWidth="1"/>
    <col min="7" max="7" width="9.453125" style="51" customWidth="1"/>
    <col min="8" max="8" width="10.54296875" style="51" customWidth="1"/>
    <col min="9" max="9" width="9.26953125" style="51" customWidth="1"/>
    <col min="10" max="16384" width="11.453125" style="51"/>
  </cols>
  <sheetData>
    <row r="1" spans="1:11" s="45" customFormat="1" ht="18" customHeight="1" x14ac:dyDescent="0.4"/>
    <row r="2" spans="1:11" s="45" customFormat="1" ht="33" customHeight="1" x14ac:dyDescent="0.4"/>
    <row r="3" spans="1:11" s="45" customFormat="1" ht="19" customHeight="1" x14ac:dyDescent="0.4"/>
    <row r="4" spans="1:11" s="45" customFormat="1" ht="18.75" customHeight="1" x14ac:dyDescent="0.4">
      <c r="A4" s="187" t="s">
        <v>0</v>
      </c>
      <c r="B4" s="187"/>
      <c r="C4" s="187"/>
      <c r="D4" s="187"/>
      <c r="E4" s="187"/>
      <c r="F4" s="187"/>
      <c r="G4" s="187"/>
      <c r="H4" s="187"/>
      <c r="I4" s="187"/>
    </row>
    <row r="5" spans="1:11" s="45" customFormat="1" ht="24" customHeight="1" x14ac:dyDescent="0.4">
      <c r="A5" s="187"/>
      <c r="B5" s="187"/>
      <c r="C5" s="187"/>
      <c r="D5" s="187"/>
      <c r="E5" s="187"/>
      <c r="F5" s="187"/>
      <c r="G5" s="187"/>
      <c r="H5" s="187"/>
      <c r="I5" s="187"/>
      <c r="K5" s="135" t="s">
        <v>63</v>
      </c>
    </row>
    <row r="6" spans="1:11" s="45" customFormat="1" ht="18.75" customHeight="1" x14ac:dyDescent="0.4">
      <c r="A6" s="46" t="s">
        <v>16</v>
      </c>
      <c r="B6" s="47"/>
      <c r="C6" s="47"/>
      <c r="D6" s="47"/>
      <c r="E6" s="47"/>
      <c r="F6" s="47"/>
      <c r="G6" s="47"/>
      <c r="H6" s="47"/>
      <c r="I6" s="47"/>
    </row>
    <row r="7" spans="1:11" s="45" customFormat="1" ht="15" customHeight="1" x14ac:dyDescent="0.4">
      <c r="A7" s="46" t="str">
        <f>+"Variación año corrido. "&amp;Índice!A7</f>
        <v>Variación año corrido. Octubre de 2024</v>
      </c>
      <c r="B7" s="47"/>
      <c r="C7" s="47"/>
      <c r="D7" s="47"/>
      <c r="E7" s="47"/>
      <c r="F7" s="47"/>
      <c r="G7" s="47"/>
      <c r="H7" s="47"/>
      <c r="I7" s="47"/>
    </row>
    <row r="8" spans="1:11" s="45" customFormat="1" ht="14" x14ac:dyDescent="0.4"/>
    <row r="9" spans="1:11" x14ac:dyDescent="0.45">
      <c r="A9" s="48" t="s">
        <v>50</v>
      </c>
      <c r="B9" s="49" t="s">
        <v>2</v>
      </c>
      <c r="C9" s="49" t="s">
        <v>3</v>
      </c>
      <c r="D9" s="49" t="s">
        <v>4</v>
      </c>
      <c r="E9" s="50" t="s">
        <v>5</v>
      </c>
      <c r="F9" s="49" t="s">
        <v>6</v>
      </c>
      <c r="G9" s="49" t="s">
        <v>7</v>
      </c>
      <c r="H9" s="49" t="s">
        <v>8</v>
      </c>
      <c r="I9" s="49" t="s">
        <v>9</v>
      </c>
    </row>
    <row r="10" spans="1:11" ht="14" customHeight="1" x14ac:dyDescent="0.45">
      <c r="A10" s="52" t="s">
        <v>17</v>
      </c>
      <c r="B10" s="52"/>
      <c r="C10" s="52"/>
      <c r="D10" s="52"/>
      <c r="E10" s="52"/>
      <c r="F10" s="52"/>
      <c r="G10" s="52"/>
      <c r="H10" s="52"/>
      <c r="I10" s="52"/>
    </row>
    <row r="11" spans="1:11" ht="14" customHeight="1" x14ac:dyDescent="0.45">
      <c r="A11" s="1" t="s">
        <v>18</v>
      </c>
      <c r="B11" s="153">
        <v>6.3281824871228576</v>
      </c>
      <c r="C11" s="154">
        <v>-37.729923732615553</v>
      </c>
      <c r="D11" s="154">
        <v>-38.085399449035819</v>
      </c>
      <c r="E11" s="99" t="s">
        <v>66</v>
      </c>
      <c r="F11" s="154">
        <v>-39.962240402769012</v>
      </c>
      <c r="G11" s="154">
        <v>-16.464891041162243</v>
      </c>
      <c r="H11" s="154">
        <v>-22.183406113537131</v>
      </c>
      <c r="I11" s="154">
        <v>-14.638346727898943</v>
      </c>
    </row>
    <row r="12" spans="1:11" ht="14" customHeight="1" x14ac:dyDescent="0.45">
      <c r="A12" s="80" t="s">
        <v>19</v>
      </c>
      <c r="B12" s="155">
        <v>-16.797346200241247</v>
      </c>
      <c r="C12" s="155">
        <v>-26.926131850675151</v>
      </c>
      <c r="D12" s="155">
        <v>-32.613085621970917</v>
      </c>
      <c r="E12" s="101" t="s">
        <v>66</v>
      </c>
      <c r="F12" s="155">
        <v>-46.385542168674711</v>
      </c>
      <c r="G12" s="155">
        <v>-25.563601584915972</v>
      </c>
      <c r="H12" s="155">
        <v>28.429634881247722</v>
      </c>
      <c r="I12" s="156">
        <v>-26.207497820401027</v>
      </c>
    </row>
    <row r="13" spans="1:11" ht="14" customHeight="1" x14ac:dyDescent="0.45">
      <c r="A13" s="1" t="s">
        <v>20</v>
      </c>
      <c r="B13" s="154">
        <v>-31.586021505376351</v>
      </c>
      <c r="C13" s="154">
        <v>-47.986191024165713</v>
      </c>
      <c r="D13" s="154">
        <v>-15.097690941385455</v>
      </c>
      <c r="E13" s="154">
        <v>-34.74387527839643</v>
      </c>
      <c r="F13" s="154">
        <v>-31.814236111111104</v>
      </c>
      <c r="G13" s="154">
        <v>-30.206185567010323</v>
      </c>
      <c r="H13" s="154">
        <v>-40.853031860226118</v>
      </c>
      <c r="I13" s="154">
        <v>-34.750733137829926</v>
      </c>
    </row>
    <row r="14" spans="1:11" ht="14" customHeight="1" x14ac:dyDescent="0.45">
      <c r="A14" s="80" t="s">
        <v>21</v>
      </c>
      <c r="B14" s="157">
        <v>2.1048287247214192</v>
      </c>
      <c r="C14" s="155">
        <v>-28.893360160965809</v>
      </c>
      <c r="D14" s="155">
        <v>5.0817757009345765</v>
      </c>
      <c r="E14" s="158">
        <v>1.5389447236180853</v>
      </c>
      <c r="F14" s="156">
        <v>-15.456431535269722</v>
      </c>
      <c r="G14" s="155">
        <v>-11.267605633802836</v>
      </c>
      <c r="H14" s="155">
        <v>8.2096069868995425</v>
      </c>
      <c r="I14" s="155">
        <v>-16.41379310344826</v>
      </c>
    </row>
    <row r="15" spans="1:11" ht="14" customHeight="1" x14ac:dyDescent="0.45">
      <c r="A15" s="1" t="s">
        <v>22</v>
      </c>
      <c r="B15" s="99" t="s">
        <v>66</v>
      </c>
      <c r="C15" s="154">
        <v>-19.82558139534887</v>
      </c>
      <c r="D15" s="154">
        <v>35.849056603773533</v>
      </c>
      <c r="E15" s="154">
        <v>17.973079968329351</v>
      </c>
      <c r="F15" s="154">
        <v>109.20910075839654</v>
      </c>
      <c r="G15" s="154">
        <v>5.8687258687258881</v>
      </c>
      <c r="H15" s="154">
        <v>-6.3440156965337113</v>
      </c>
      <c r="I15" s="102" t="s">
        <v>66</v>
      </c>
    </row>
    <row r="16" spans="1:11" ht="14" customHeight="1" x14ac:dyDescent="0.45">
      <c r="A16" s="80" t="s">
        <v>58</v>
      </c>
      <c r="B16" s="156">
        <v>-11.455076089222437</v>
      </c>
      <c r="C16" s="155">
        <v>-14.291745830694502</v>
      </c>
      <c r="D16" s="155">
        <v>15.16489988221441</v>
      </c>
      <c r="E16" s="97" t="s">
        <v>66</v>
      </c>
      <c r="F16" s="155">
        <v>-5.178341211860749</v>
      </c>
      <c r="G16" s="155">
        <v>5.4426983518589322</v>
      </c>
      <c r="H16" s="155">
        <v>20.235878336436986</v>
      </c>
      <c r="I16" s="158">
        <v>-8.2339135536866781</v>
      </c>
    </row>
    <row r="17" spans="1:9" ht="14" customHeight="1" x14ac:dyDescent="0.45">
      <c r="A17" s="1" t="s">
        <v>23</v>
      </c>
      <c r="B17" s="154">
        <v>45.359366157328871</v>
      </c>
      <c r="C17" s="154">
        <v>102.07328833172613</v>
      </c>
      <c r="D17" s="154">
        <v>61.095100864553316</v>
      </c>
      <c r="E17" s="154">
        <v>60.348517273005207</v>
      </c>
      <c r="F17" s="154">
        <v>123.53916286779945</v>
      </c>
      <c r="G17" s="154">
        <v>12.583311117035478</v>
      </c>
      <c r="H17" s="154">
        <v>83.058823529411669</v>
      </c>
      <c r="I17" s="154">
        <v>125.7931602801813</v>
      </c>
    </row>
    <row r="18" spans="1:9" ht="14" customHeight="1" x14ac:dyDescent="0.45">
      <c r="A18" s="80" t="s">
        <v>24</v>
      </c>
      <c r="B18" s="155">
        <v>-36.06666666666667</v>
      </c>
      <c r="C18" s="155">
        <v>-56.805444355484383</v>
      </c>
      <c r="D18" s="155">
        <v>-28.408195429472048</v>
      </c>
      <c r="E18" s="155">
        <v>-40.062871114215859</v>
      </c>
      <c r="F18" s="155">
        <v>-25.964912280701736</v>
      </c>
      <c r="G18" s="155">
        <v>-12.655417406749581</v>
      </c>
      <c r="H18" s="155">
        <v>-34.290147401086124</v>
      </c>
      <c r="I18" s="155">
        <v>-19.723502304147502</v>
      </c>
    </row>
    <row r="19" spans="1:9" ht="14" customHeight="1" x14ac:dyDescent="0.45">
      <c r="A19" s="1" t="s">
        <v>25</v>
      </c>
      <c r="B19" s="154">
        <v>30.371900826446275</v>
      </c>
      <c r="C19" s="154">
        <v>25.906120023767109</v>
      </c>
      <c r="D19" s="154">
        <v>-22.779922779922778</v>
      </c>
      <c r="E19" s="154">
        <v>20.840064620355434</v>
      </c>
      <c r="F19" s="154">
        <v>22.263797942001883</v>
      </c>
      <c r="G19" s="154">
        <v>17.034990791896853</v>
      </c>
      <c r="H19" s="154">
        <v>-4.9530315969256939</v>
      </c>
      <c r="I19" s="154">
        <v>43.646408839778992</v>
      </c>
    </row>
    <row r="20" spans="1:9" ht="14" customHeight="1" x14ac:dyDescent="0.45">
      <c r="A20" s="80" t="s">
        <v>26</v>
      </c>
      <c r="B20" s="155">
        <v>-16.532378394509117</v>
      </c>
      <c r="C20" s="155">
        <v>25.687622789783937</v>
      </c>
      <c r="D20" s="155">
        <v>-13.238817891373778</v>
      </c>
      <c r="E20" s="155">
        <v>15.696887686062233</v>
      </c>
      <c r="F20" s="155">
        <v>15.630367571281333</v>
      </c>
      <c r="G20" s="155">
        <v>-8.2533197139938679</v>
      </c>
      <c r="H20" s="155">
        <v>13.105867346938771</v>
      </c>
      <c r="I20" s="155">
        <v>14.333333333333309</v>
      </c>
    </row>
    <row r="21" spans="1:9" ht="14" customHeight="1" x14ac:dyDescent="0.45">
      <c r="A21" s="1" t="s">
        <v>27</v>
      </c>
      <c r="B21" s="154">
        <v>29.842271293375376</v>
      </c>
      <c r="C21" s="154">
        <v>42.028985507246432</v>
      </c>
      <c r="D21" s="154">
        <v>27.674023769100199</v>
      </c>
      <c r="E21" s="154">
        <v>30.901542111506487</v>
      </c>
      <c r="F21" s="154">
        <v>38.423339540657949</v>
      </c>
      <c r="G21" s="154">
        <v>12.984615384615395</v>
      </c>
      <c r="H21" s="154">
        <v>73.49282296650712</v>
      </c>
      <c r="I21" s="159">
        <v>50.521152667075398</v>
      </c>
    </row>
    <row r="22" spans="1:9" ht="14" customHeight="1" x14ac:dyDescent="0.45">
      <c r="A22" s="80" t="s">
        <v>28</v>
      </c>
      <c r="B22" s="155">
        <v>-37.69590321693704</v>
      </c>
      <c r="C22" s="155">
        <v>-43.031507238149317</v>
      </c>
      <c r="D22" s="155">
        <v>-38.506815365551425</v>
      </c>
      <c r="E22" s="156">
        <v>-35.076840118630372</v>
      </c>
      <c r="F22" s="156">
        <v>-43.055185283924281</v>
      </c>
      <c r="G22" s="156">
        <v>-42.960088691795995</v>
      </c>
      <c r="H22" s="155">
        <v>-62.192771084337338</v>
      </c>
      <c r="I22" s="155">
        <v>-41.377497371188234</v>
      </c>
    </row>
    <row r="23" spans="1:9" ht="14" customHeight="1" x14ac:dyDescent="0.45">
      <c r="A23" s="82" t="s">
        <v>29</v>
      </c>
      <c r="B23" s="160">
        <v>5.5201698513800856</v>
      </c>
      <c r="C23" s="161">
        <v>29.869451697127914</v>
      </c>
      <c r="D23" s="161">
        <v>31.549295774647888</v>
      </c>
      <c r="E23" s="161">
        <v>22.777777777777786</v>
      </c>
      <c r="F23" s="161">
        <v>32.736943907156672</v>
      </c>
      <c r="G23" s="161">
        <v>44.851116625310183</v>
      </c>
      <c r="H23" s="161">
        <v>-6.0397553516819524</v>
      </c>
      <c r="I23" s="162">
        <v>23.377960865087523</v>
      </c>
    </row>
    <row r="24" spans="1:9" ht="14" customHeight="1" x14ac:dyDescent="0.45">
      <c r="A24" s="52" t="s">
        <v>30</v>
      </c>
      <c r="B24" s="52"/>
      <c r="C24" s="52"/>
      <c r="D24" s="52"/>
      <c r="E24" s="52"/>
      <c r="F24" s="52"/>
      <c r="G24" s="52"/>
      <c r="H24" s="52"/>
      <c r="I24" s="52"/>
    </row>
    <row r="25" spans="1:9" ht="14" customHeight="1" x14ac:dyDescent="0.45">
      <c r="A25" s="1" t="s">
        <v>48</v>
      </c>
      <c r="B25" s="99" t="s">
        <v>66</v>
      </c>
      <c r="C25" s="154">
        <v>6.1393379522709512</v>
      </c>
      <c r="D25" s="153">
        <v>19.726447352906497</v>
      </c>
      <c r="E25" s="99" t="s">
        <v>66</v>
      </c>
      <c r="F25" s="153">
        <v>23.314812873466817</v>
      </c>
      <c r="G25" s="102" t="s">
        <v>66</v>
      </c>
      <c r="H25" s="154">
        <v>39.426565242832055</v>
      </c>
      <c r="I25" s="99" t="s">
        <v>66</v>
      </c>
    </row>
    <row r="26" spans="1:9" ht="14" customHeight="1" x14ac:dyDescent="0.45">
      <c r="A26" s="80" t="s">
        <v>31</v>
      </c>
      <c r="B26" s="155">
        <v>-25.511811023622023</v>
      </c>
      <c r="C26" s="155">
        <v>27.402135231316716</v>
      </c>
      <c r="D26" s="155">
        <v>66.453516969995022</v>
      </c>
      <c r="E26" s="101" t="s">
        <v>66</v>
      </c>
      <c r="F26" s="155">
        <v>26.861871419478</v>
      </c>
      <c r="G26" s="155">
        <v>58.749999999999993</v>
      </c>
      <c r="H26" s="155">
        <v>30.650496141124563</v>
      </c>
      <c r="I26" s="155">
        <v>43.672627235213234</v>
      </c>
    </row>
    <row r="27" spans="1:9" ht="14" customHeight="1" x14ac:dyDescent="0.45">
      <c r="A27" s="1" t="s">
        <v>32</v>
      </c>
      <c r="B27" s="153">
        <v>18.745098039215691</v>
      </c>
      <c r="C27" s="154">
        <v>12.633639512121686</v>
      </c>
      <c r="D27" s="99" t="s">
        <v>66</v>
      </c>
      <c r="E27" s="154">
        <v>82.78388278388276</v>
      </c>
      <c r="F27" s="154">
        <v>-6.7426179958149479</v>
      </c>
      <c r="G27" s="99" t="s">
        <v>66</v>
      </c>
      <c r="H27" s="154">
        <v>47.241950757575715</v>
      </c>
      <c r="I27" s="153">
        <v>7.3150176976234604</v>
      </c>
    </row>
    <row r="28" spans="1:9" ht="14" customHeight="1" x14ac:dyDescent="0.45">
      <c r="A28" s="80" t="s">
        <v>33</v>
      </c>
      <c r="B28" s="101" t="s">
        <v>66</v>
      </c>
      <c r="C28" s="155">
        <v>-7.1974808816913978</v>
      </c>
      <c r="D28" s="155">
        <v>-4.6079329755203569</v>
      </c>
      <c r="E28" s="97" t="s">
        <v>66</v>
      </c>
      <c r="F28" s="156">
        <v>-2.1805896805896841</v>
      </c>
      <c r="G28" s="156">
        <v>25.705568268497323</v>
      </c>
      <c r="H28" s="155">
        <v>-5.3513261982317424</v>
      </c>
      <c r="I28" s="97" t="s">
        <v>66</v>
      </c>
    </row>
    <row r="29" spans="1:9" ht="14" customHeight="1" x14ac:dyDescent="0.45">
      <c r="A29" s="1" t="s">
        <v>34</v>
      </c>
      <c r="B29" s="154">
        <v>-20.362446513969278</v>
      </c>
      <c r="C29" s="154">
        <v>2.4455077086656063</v>
      </c>
      <c r="D29" s="154">
        <v>-38.773747841105347</v>
      </c>
      <c r="E29" s="154">
        <v>-12.87878787878789</v>
      </c>
      <c r="F29" s="153">
        <v>-23.599670510708414</v>
      </c>
      <c r="G29" s="154">
        <v>-20.590490797545979</v>
      </c>
      <c r="H29" s="154">
        <v>23.110914714980147</v>
      </c>
      <c r="I29" s="154">
        <v>0.70453544693964698</v>
      </c>
    </row>
    <row r="30" spans="1:9" ht="14" customHeight="1" x14ac:dyDescent="0.45">
      <c r="A30" s="80" t="s">
        <v>55</v>
      </c>
      <c r="B30" s="156">
        <v>81.124694376528112</v>
      </c>
      <c r="C30" s="156">
        <v>84.555785123966956</v>
      </c>
      <c r="D30" s="155">
        <v>58.855751673767507</v>
      </c>
      <c r="E30" s="155">
        <v>77.556325823223602</v>
      </c>
      <c r="F30" s="156">
        <v>140.61793519216272</v>
      </c>
      <c r="G30" s="156">
        <v>34.128097241701738</v>
      </c>
      <c r="H30" s="155">
        <v>110.92052601486566</v>
      </c>
      <c r="I30" s="155">
        <v>102.18712029161598</v>
      </c>
    </row>
    <row r="31" spans="1:9" ht="14" customHeight="1" x14ac:dyDescent="0.45">
      <c r="A31" s="1" t="s">
        <v>35</v>
      </c>
      <c r="B31" s="154">
        <v>12.796002606995383</v>
      </c>
      <c r="C31" s="154">
        <v>17.013599777962774</v>
      </c>
      <c r="D31" s="154">
        <v>30.389840519787327</v>
      </c>
      <c r="E31" s="154">
        <v>21.773312950425861</v>
      </c>
      <c r="F31" s="154">
        <v>20.343422584400493</v>
      </c>
      <c r="G31" s="154">
        <v>7.6380491737203293</v>
      </c>
      <c r="H31" s="154">
        <v>33.534338358458982</v>
      </c>
      <c r="I31" s="154">
        <v>26.409406089840193</v>
      </c>
    </row>
    <row r="32" spans="1:9" ht="14" customHeight="1" x14ac:dyDescent="0.45">
      <c r="A32" s="80" t="s">
        <v>36</v>
      </c>
      <c r="B32" s="155">
        <v>39.071986123157032</v>
      </c>
      <c r="C32" s="155">
        <v>44.582975064488451</v>
      </c>
      <c r="D32" s="97" t="s">
        <v>66</v>
      </c>
      <c r="E32" s="97" t="s">
        <v>66</v>
      </c>
      <c r="F32" s="156">
        <v>53.809523809523796</v>
      </c>
      <c r="G32" s="155">
        <v>85.757729346173377</v>
      </c>
      <c r="H32" s="155">
        <v>27.175527175527179</v>
      </c>
      <c r="I32" s="97" t="s">
        <v>66</v>
      </c>
    </row>
    <row r="33" spans="1:25" ht="14" customHeight="1" x14ac:dyDescent="0.45">
      <c r="A33" s="1" t="s">
        <v>37</v>
      </c>
      <c r="B33" s="163">
        <v>122.70857814336078</v>
      </c>
      <c r="C33" s="163">
        <v>258.19633630812592</v>
      </c>
      <c r="D33" s="154">
        <v>105.6883759274526</v>
      </c>
      <c r="E33" s="102" t="s">
        <v>66</v>
      </c>
      <c r="F33" s="154">
        <v>138.0952380952381</v>
      </c>
      <c r="G33" s="99" t="s">
        <v>66</v>
      </c>
      <c r="H33" s="154">
        <v>147.41608950452849</v>
      </c>
      <c r="I33" s="163">
        <v>151.09361329833763</v>
      </c>
    </row>
    <row r="34" spans="1:25" ht="14" customHeight="1" x14ac:dyDescent="0.45">
      <c r="A34" s="80" t="s">
        <v>51</v>
      </c>
      <c r="B34" s="97" t="s">
        <v>66</v>
      </c>
      <c r="C34" s="155">
        <v>2.3318385650223705</v>
      </c>
      <c r="D34" s="155">
        <v>-8.5931640415729422</v>
      </c>
      <c r="E34" s="155">
        <v>-12.876872203851397</v>
      </c>
      <c r="F34" s="155">
        <v>-11.771808028976761</v>
      </c>
      <c r="G34" s="155">
        <v>-17.723406121196163</v>
      </c>
      <c r="H34" s="155">
        <v>-5.1290119572057531</v>
      </c>
      <c r="I34" s="155">
        <v>-14.859320046893332</v>
      </c>
    </row>
    <row r="35" spans="1:25" ht="14" customHeight="1" x14ac:dyDescent="0.45">
      <c r="A35" s="1" t="s">
        <v>38</v>
      </c>
      <c r="B35" s="99" t="s">
        <v>66</v>
      </c>
      <c r="C35" s="154">
        <v>32.741116751269047</v>
      </c>
      <c r="D35" s="154">
        <v>25.282871634802962</v>
      </c>
      <c r="E35" s="99" t="s">
        <v>66</v>
      </c>
      <c r="F35" s="154">
        <v>36.800264988406759</v>
      </c>
      <c r="G35" s="154">
        <v>-2.9009050823857185</v>
      </c>
      <c r="H35" s="154">
        <v>54.362837413684886</v>
      </c>
      <c r="I35" s="154">
        <v>20.395356134295572</v>
      </c>
    </row>
    <row r="36" spans="1:25" ht="14" customHeight="1" x14ac:dyDescent="0.45">
      <c r="A36" s="80" t="s">
        <v>39</v>
      </c>
      <c r="B36" s="155">
        <v>-18.996598639455776</v>
      </c>
      <c r="C36" s="155">
        <v>-36.816585855208174</v>
      </c>
      <c r="D36" s="155">
        <v>-29.831633862935703</v>
      </c>
      <c r="E36" s="155">
        <v>-25.685884691848916</v>
      </c>
      <c r="F36" s="155">
        <v>-39.415094339622627</v>
      </c>
      <c r="G36" s="155">
        <v>-38.74935930292159</v>
      </c>
      <c r="H36" s="155">
        <v>-45.072206739295709</v>
      </c>
      <c r="I36" s="155">
        <v>-23.842999414176923</v>
      </c>
    </row>
    <row r="37" spans="1:25" ht="14" customHeight="1" x14ac:dyDescent="0.45">
      <c r="A37" s="1" t="s">
        <v>57</v>
      </c>
      <c r="B37" s="99" t="s">
        <v>66</v>
      </c>
      <c r="C37" s="154">
        <v>25.887669464170358</v>
      </c>
      <c r="D37" s="154">
        <v>12.231030577576462</v>
      </c>
      <c r="E37" s="99" t="s">
        <v>66</v>
      </c>
      <c r="F37" s="164">
        <v>33.984706881903094</v>
      </c>
      <c r="G37" s="153">
        <v>38.476953907815606</v>
      </c>
      <c r="H37" s="154">
        <v>49.451887941534721</v>
      </c>
      <c r="I37" s="154">
        <v>23.340321453528979</v>
      </c>
    </row>
    <row r="38" spans="1:25" ht="14" customHeight="1" x14ac:dyDescent="0.45">
      <c r="A38" s="80" t="s">
        <v>56</v>
      </c>
      <c r="B38" s="101" t="s">
        <v>66</v>
      </c>
      <c r="C38" s="156">
        <v>18.297101449275345</v>
      </c>
      <c r="D38" s="155">
        <v>20.000000000000018</v>
      </c>
      <c r="E38" s="156">
        <v>34.296296296296291</v>
      </c>
      <c r="F38" s="155">
        <v>41.235632183908109</v>
      </c>
      <c r="G38" s="155">
        <v>18.913043478260928</v>
      </c>
      <c r="H38" s="155">
        <v>24.316720257234703</v>
      </c>
      <c r="I38" s="155">
        <v>50.454227812718358</v>
      </c>
    </row>
    <row r="39" spans="1:25" ht="14" customHeight="1" x14ac:dyDescent="0.45">
      <c r="A39" s="1" t="s">
        <v>40</v>
      </c>
      <c r="B39" s="154">
        <v>-22.241507562608476</v>
      </c>
      <c r="C39" s="154">
        <v>-39.290322580645174</v>
      </c>
      <c r="D39" s="154">
        <v>-38.343156516044509</v>
      </c>
      <c r="E39" s="153">
        <v>-2.1185304371145297</v>
      </c>
      <c r="F39" s="153">
        <v>-20.926090828138911</v>
      </c>
      <c r="G39" s="99" t="s">
        <v>66</v>
      </c>
      <c r="H39" s="153">
        <v>-31.542288557213926</v>
      </c>
      <c r="I39" s="153">
        <v>-22.052067381316999</v>
      </c>
    </row>
    <row r="40" spans="1:25" ht="14" customHeight="1" x14ac:dyDescent="0.45">
      <c r="A40" s="81" t="s">
        <v>41</v>
      </c>
      <c r="B40" s="165">
        <v>34.078516902944386</v>
      </c>
      <c r="C40" s="165">
        <v>78.865979381443324</v>
      </c>
      <c r="D40" s="165">
        <v>87.420042643923153</v>
      </c>
      <c r="E40" s="165">
        <v>68.603213844252139</v>
      </c>
      <c r="F40" s="165">
        <v>92.079999999999956</v>
      </c>
      <c r="G40" s="166">
        <v>-7.8250000000000259</v>
      </c>
      <c r="H40" s="165">
        <v>68.199841395717684</v>
      </c>
      <c r="I40" s="165">
        <v>42.425793244626455</v>
      </c>
    </row>
    <row r="41" spans="1:25" ht="14" customHeight="1" x14ac:dyDescent="0.45">
      <c r="A41" s="52" t="s">
        <v>42</v>
      </c>
      <c r="B41" s="52"/>
      <c r="C41" s="52"/>
      <c r="D41" s="52"/>
      <c r="E41" s="52"/>
      <c r="F41" s="52"/>
      <c r="G41" s="52"/>
      <c r="H41" s="52"/>
      <c r="I41" s="52"/>
    </row>
    <row r="42" spans="1:25" ht="14" customHeight="1" x14ac:dyDescent="0.45">
      <c r="A42" s="1" t="s">
        <v>43</v>
      </c>
      <c r="B42" s="102" t="s">
        <v>66</v>
      </c>
      <c r="C42" s="154">
        <v>-74.31556195965419</v>
      </c>
      <c r="D42" s="154">
        <v>-35.434909515469911</v>
      </c>
      <c r="E42" s="102" t="s">
        <v>66</v>
      </c>
      <c r="F42" s="154">
        <v>-72.766522749916973</v>
      </c>
      <c r="G42" s="154">
        <v>-17.841352405721711</v>
      </c>
      <c r="H42" s="154">
        <v>23.578508085550354</v>
      </c>
      <c r="I42" s="153">
        <v>-31.939163498098843</v>
      </c>
    </row>
    <row r="43" spans="1:25" ht="14" customHeight="1" x14ac:dyDescent="0.45">
      <c r="A43" s="80" t="s">
        <v>44</v>
      </c>
      <c r="B43" s="155">
        <v>-22.647631408176483</v>
      </c>
      <c r="C43" s="155">
        <v>-13.46452615225272</v>
      </c>
      <c r="D43" s="155">
        <v>-11.522872032426168</v>
      </c>
      <c r="E43" s="155">
        <v>-27.466036621382194</v>
      </c>
      <c r="F43" s="155">
        <v>-8.9852008456659753</v>
      </c>
      <c r="G43" s="156">
        <v>-6.9221260815821921</v>
      </c>
      <c r="H43" s="155">
        <v>8.6128739800544363</v>
      </c>
      <c r="I43" s="155">
        <v>-27.593220338983059</v>
      </c>
    </row>
    <row r="44" spans="1:25" ht="14" customHeight="1" x14ac:dyDescent="0.45">
      <c r="A44" s="1" t="s">
        <v>52</v>
      </c>
      <c r="B44" s="99" t="s">
        <v>66</v>
      </c>
      <c r="C44" s="154">
        <v>13.719211822660093</v>
      </c>
      <c r="D44" s="154">
        <v>4.461651917404108</v>
      </c>
      <c r="E44" s="154">
        <v>13.917649891644546</v>
      </c>
      <c r="F44" s="154">
        <v>15.210893390900004</v>
      </c>
      <c r="G44" s="154">
        <v>5.494892567805576</v>
      </c>
      <c r="H44" s="154">
        <v>77.935312361541904</v>
      </c>
      <c r="I44" s="154">
        <v>2.9066517607601927</v>
      </c>
    </row>
    <row r="45" spans="1:25" ht="14" customHeight="1" x14ac:dyDescent="0.45">
      <c r="A45" s="80" t="s">
        <v>45</v>
      </c>
      <c r="B45" s="155">
        <v>-24.652338811630838</v>
      </c>
      <c r="C45" s="155">
        <v>23.470715835141</v>
      </c>
      <c r="D45" s="155">
        <v>2.042866711319502</v>
      </c>
      <c r="E45" s="155">
        <v>8.9337175792507431</v>
      </c>
      <c r="F45" s="155">
        <v>12.33062330623309</v>
      </c>
      <c r="G45" s="155">
        <v>6.1639344262295115</v>
      </c>
      <c r="H45" s="155">
        <v>19.653442772457819</v>
      </c>
      <c r="I45" s="155">
        <v>6.9691300280636082</v>
      </c>
    </row>
    <row r="46" spans="1:25" x14ac:dyDescent="0.45">
      <c r="A46" s="82" t="s">
        <v>46</v>
      </c>
      <c r="B46" s="161">
        <v>-23.467862481315393</v>
      </c>
      <c r="C46" s="161">
        <v>19.526285384170983</v>
      </c>
      <c r="D46" s="161">
        <v>-8.0973671137605674</v>
      </c>
      <c r="E46" s="161">
        <v>-18.749999999999979</v>
      </c>
      <c r="F46" s="161">
        <v>-15.084745762711883</v>
      </c>
      <c r="G46" s="161">
        <v>-15.270018621973913</v>
      </c>
      <c r="H46" s="161">
        <v>13.513513513513553</v>
      </c>
      <c r="I46" s="161">
        <v>4.1666666666666519</v>
      </c>
    </row>
    <row r="47" spans="1:25" x14ac:dyDescent="0.45">
      <c r="A47" s="1"/>
      <c r="B47" s="53"/>
      <c r="C47" s="53"/>
      <c r="D47" s="53"/>
      <c r="E47" s="53"/>
      <c r="F47" s="53"/>
      <c r="G47" s="53"/>
      <c r="H47" s="53"/>
      <c r="I47" s="53"/>
    </row>
    <row r="48" spans="1:25" s="35" customFormat="1" x14ac:dyDescent="0.45">
      <c r="A48" s="131" t="s">
        <v>62</v>
      </c>
      <c r="B48" s="29"/>
      <c r="C48" s="74"/>
      <c r="D48" s="90"/>
      <c r="E48" s="76"/>
      <c r="F48" s="89"/>
      <c r="G48" s="65"/>
      <c r="H48" s="29"/>
      <c r="I48" s="74"/>
      <c r="J48" s="29"/>
      <c r="K48" s="74"/>
      <c r="L48" s="90"/>
      <c r="M48" s="87"/>
      <c r="N48" s="89"/>
      <c r="O48" s="91"/>
      <c r="P48" s="29"/>
      <c r="Q48" s="74"/>
      <c r="R48" s="32"/>
      <c r="S48" s="33"/>
      <c r="T48" s="32"/>
      <c r="U48" s="33"/>
      <c r="V48" s="32"/>
      <c r="W48" s="33"/>
      <c r="X48" s="32"/>
      <c r="Y48" s="33"/>
    </row>
    <row r="49" spans="1:9" x14ac:dyDescent="0.45">
      <c r="A49" s="54" t="s">
        <v>12</v>
      </c>
      <c r="B49" s="55"/>
      <c r="C49" s="56"/>
      <c r="D49" s="56"/>
      <c r="E49" s="55"/>
      <c r="F49" s="56"/>
      <c r="G49" s="56"/>
      <c r="H49" s="56"/>
      <c r="I49" s="56"/>
    </row>
    <row r="50" spans="1:9" x14ac:dyDescent="0.45">
      <c r="A50" s="57" t="s">
        <v>54</v>
      </c>
      <c r="B50" s="57"/>
      <c r="C50" s="57"/>
      <c r="D50" s="57"/>
      <c r="E50" s="57"/>
      <c r="F50" s="57"/>
      <c r="G50" s="57"/>
      <c r="H50" s="57"/>
      <c r="I50" s="57"/>
    </row>
    <row r="51" spans="1:9" x14ac:dyDescent="0.45">
      <c r="A51" s="58" t="s">
        <v>14</v>
      </c>
      <c r="B51" s="55"/>
      <c r="C51" s="56"/>
      <c r="D51" s="56"/>
      <c r="E51" s="55"/>
      <c r="F51" s="56"/>
      <c r="G51" s="56"/>
      <c r="H51" s="56"/>
      <c r="I51" s="56"/>
    </row>
    <row r="52" spans="1:9" x14ac:dyDescent="0.45">
      <c r="A52" s="59" t="s">
        <v>15</v>
      </c>
      <c r="B52" s="60"/>
      <c r="C52" s="60"/>
      <c r="D52" s="60"/>
      <c r="E52" s="60"/>
      <c r="F52" s="60"/>
      <c r="G52" s="60"/>
      <c r="H52" s="60"/>
      <c r="I52" s="60"/>
    </row>
    <row r="53" spans="1:9" x14ac:dyDescent="0.45">
      <c r="A53" s="59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61" t="str">
        <f>+Índice!A14</f>
        <v>Fecha de actualización: 12 de noviembre de 2024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9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9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9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F7402EBD-9201-4A84-8AF0-7C5F9A3B5FC8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Y57"/>
  <sheetViews>
    <sheetView showGridLines="0" workbookViewId="0">
      <selection activeCell="A4" sqref="A4:I5"/>
    </sheetView>
  </sheetViews>
  <sheetFormatPr baseColWidth="10" defaultColWidth="11.453125" defaultRowHeight="16" x14ac:dyDescent="0.45"/>
  <cols>
    <col min="1" max="1" width="24.453125" style="51" customWidth="1"/>
    <col min="2" max="2" width="12" style="51" bestFit="1" customWidth="1"/>
    <col min="3" max="3" width="9.453125" style="51" customWidth="1"/>
    <col min="4" max="4" width="13.54296875" style="51" bestFit="1" customWidth="1"/>
    <col min="5" max="5" width="12" style="51" customWidth="1"/>
    <col min="6" max="6" width="10.26953125" style="51" customWidth="1"/>
    <col min="7" max="7" width="9.453125" style="51" customWidth="1"/>
    <col min="8" max="8" width="10.54296875" style="51" customWidth="1"/>
    <col min="9" max="9" width="9.26953125" style="51" customWidth="1"/>
    <col min="10" max="16384" width="11.453125" style="51"/>
  </cols>
  <sheetData>
    <row r="1" spans="1:11" s="45" customFormat="1" ht="18.5" customHeight="1" x14ac:dyDescent="0.4"/>
    <row r="2" spans="1:11" s="45" customFormat="1" ht="33" customHeight="1" x14ac:dyDescent="0.4"/>
    <row r="3" spans="1:11" s="45" customFormat="1" ht="19" customHeight="1" x14ac:dyDescent="0.4"/>
    <row r="4" spans="1:11" s="45" customFormat="1" ht="18.75" customHeight="1" x14ac:dyDescent="0.4">
      <c r="A4" s="187" t="s">
        <v>0</v>
      </c>
      <c r="B4" s="187"/>
      <c r="C4" s="187"/>
      <c r="D4" s="187"/>
      <c r="E4" s="187"/>
      <c r="F4" s="187"/>
      <c r="G4" s="187"/>
      <c r="H4" s="187"/>
      <c r="I4" s="187"/>
    </row>
    <row r="5" spans="1:11" s="45" customFormat="1" ht="27.75" customHeight="1" x14ac:dyDescent="0.4">
      <c r="A5" s="187"/>
      <c r="B5" s="187"/>
      <c r="C5" s="187"/>
      <c r="D5" s="187"/>
      <c r="E5" s="187"/>
      <c r="F5" s="187"/>
      <c r="G5" s="187"/>
      <c r="H5" s="187"/>
      <c r="I5" s="187"/>
      <c r="K5" s="135" t="s">
        <v>63</v>
      </c>
    </row>
    <row r="6" spans="1:11" s="45" customFormat="1" ht="18.75" customHeight="1" x14ac:dyDescent="0.4">
      <c r="A6" s="46" t="s">
        <v>16</v>
      </c>
      <c r="B6" s="47"/>
      <c r="C6" s="47"/>
      <c r="D6" s="47"/>
      <c r="E6" s="47"/>
      <c r="F6" s="47"/>
      <c r="G6" s="47"/>
      <c r="H6" s="47"/>
      <c r="I6" s="47"/>
    </row>
    <row r="7" spans="1:11" s="45" customFormat="1" ht="15" customHeight="1" x14ac:dyDescent="0.4">
      <c r="A7" s="46" t="str">
        <f>+"Variación anual. "&amp;Índice!A7</f>
        <v>Variación anual. Octubre de 2024</v>
      </c>
      <c r="B7" s="47"/>
      <c r="C7" s="47"/>
      <c r="D7" s="47"/>
      <c r="E7" s="47"/>
      <c r="F7" s="47"/>
      <c r="G7" s="47"/>
      <c r="H7" s="47"/>
      <c r="I7" s="47"/>
    </row>
    <row r="8" spans="1:11" s="45" customFormat="1" ht="14" x14ac:dyDescent="0.4"/>
    <row r="9" spans="1:11" x14ac:dyDescent="0.45">
      <c r="A9" s="48" t="s">
        <v>50</v>
      </c>
      <c r="B9" s="62" t="s">
        <v>2</v>
      </c>
      <c r="C9" s="62" t="s">
        <v>3</v>
      </c>
      <c r="D9" s="62" t="s">
        <v>4</v>
      </c>
      <c r="E9" s="63" t="s">
        <v>5</v>
      </c>
      <c r="F9" s="62" t="s">
        <v>6</v>
      </c>
      <c r="G9" s="62" t="s">
        <v>7</v>
      </c>
      <c r="H9" s="62" t="s">
        <v>8</v>
      </c>
      <c r="I9" s="62" t="s">
        <v>9</v>
      </c>
    </row>
    <row r="10" spans="1:11" ht="14" customHeight="1" x14ac:dyDescent="0.45">
      <c r="A10" s="52" t="s">
        <v>17</v>
      </c>
      <c r="B10" s="52"/>
      <c r="C10" s="52"/>
      <c r="D10" s="52"/>
      <c r="E10" s="52"/>
      <c r="F10" s="52"/>
      <c r="G10" s="52"/>
      <c r="H10" s="52"/>
      <c r="I10" s="52"/>
    </row>
    <row r="11" spans="1:11" ht="14" customHeight="1" x14ac:dyDescent="0.45">
      <c r="A11" s="1" t="s">
        <v>18</v>
      </c>
      <c r="B11" s="153">
        <v>29.017857142857117</v>
      </c>
      <c r="C11" s="154">
        <v>-39.756944444444464</v>
      </c>
      <c r="D11" s="154">
        <v>-30.899308224442734</v>
      </c>
      <c r="E11" s="99" t="s">
        <v>66</v>
      </c>
      <c r="F11" s="154">
        <v>-15.798764342453619</v>
      </c>
      <c r="G11" s="154">
        <v>-4.2331714087439636</v>
      </c>
      <c r="H11" s="154">
        <v>-11.956521739130466</v>
      </c>
      <c r="I11" s="154">
        <v>-11.435378201310275</v>
      </c>
    </row>
    <row r="12" spans="1:11" ht="14" customHeight="1" x14ac:dyDescent="0.45">
      <c r="A12" s="80" t="s">
        <v>19</v>
      </c>
      <c r="B12" s="155">
        <v>-16.822429906542048</v>
      </c>
      <c r="C12" s="155">
        <v>-1.2610678830158428</v>
      </c>
      <c r="D12" s="155">
        <v>-9.1478355567656049</v>
      </c>
      <c r="E12" s="101" t="s">
        <v>66</v>
      </c>
      <c r="F12" s="155">
        <v>-2.9887482419128086</v>
      </c>
      <c r="G12" s="155">
        <v>-14.015151515151524</v>
      </c>
      <c r="H12" s="155">
        <v>31.315694092062294</v>
      </c>
      <c r="I12" s="156">
        <v>6.0385868203458148</v>
      </c>
    </row>
    <row r="13" spans="1:11" ht="14" customHeight="1" x14ac:dyDescent="0.45">
      <c r="A13" s="1" t="s">
        <v>20</v>
      </c>
      <c r="B13" s="154">
        <v>-38.822115384615387</v>
      </c>
      <c r="C13" s="154">
        <v>-53.08770108977685</v>
      </c>
      <c r="D13" s="154">
        <v>-44.568998840355633</v>
      </c>
      <c r="E13" s="154">
        <v>-38.62589023879346</v>
      </c>
      <c r="F13" s="154">
        <v>-30.762450418686637</v>
      </c>
      <c r="G13" s="154">
        <v>-36.521331458040343</v>
      </c>
      <c r="H13" s="154">
        <v>-47.153351698806269</v>
      </c>
      <c r="I13" s="154">
        <v>-40.214957456336776</v>
      </c>
    </row>
    <row r="14" spans="1:11" ht="14" customHeight="1" x14ac:dyDescent="0.45">
      <c r="A14" s="80" t="s">
        <v>21</v>
      </c>
      <c r="B14" s="157">
        <v>-1.7474185861795166</v>
      </c>
      <c r="C14" s="155">
        <v>-27.848101265822798</v>
      </c>
      <c r="D14" s="155">
        <v>-10.719602977667508</v>
      </c>
      <c r="E14" s="158">
        <v>8.9652847994607487</v>
      </c>
      <c r="F14" s="156">
        <v>-19.980363279332369</v>
      </c>
      <c r="G14" s="155">
        <v>-20.010157440325059</v>
      </c>
      <c r="H14" s="155">
        <v>55.165936130244162</v>
      </c>
      <c r="I14" s="155">
        <v>-23.226351351351337</v>
      </c>
    </row>
    <row r="15" spans="1:11" ht="14" customHeight="1" x14ac:dyDescent="0.45">
      <c r="A15" s="1" t="s">
        <v>22</v>
      </c>
      <c r="B15" s="99" t="s">
        <v>66</v>
      </c>
      <c r="C15" s="154">
        <v>3.9186134137151107</v>
      </c>
      <c r="D15" s="154">
        <v>8.6336965632857865</v>
      </c>
      <c r="E15" s="154">
        <v>26.808510638297854</v>
      </c>
      <c r="F15" s="154">
        <v>-6.3984488608821994</v>
      </c>
      <c r="G15" s="154">
        <v>-4.9896049896049677</v>
      </c>
      <c r="H15" s="154">
        <v>-1.7832647462277307</v>
      </c>
      <c r="I15" s="102" t="s">
        <v>66</v>
      </c>
    </row>
    <row r="16" spans="1:11" ht="14" customHeight="1" x14ac:dyDescent="0.45">
      <c r="A16" s="80" t="s">
        <v>58</v>
      </c>
      <c r="B16" s="156">
        <v>6.5604616156548001</v>
      </c>
      <c r="C16" s="155">
        <v>12.123722728528064</v>
      </c>
      <c r="D16" s="155">
        <v>18.839258584017049</v>
      </c>
      <c r="E16" s="97" t="s">
        <v>66</v>
      </c>
      <c r="F16" s="155">
        <v>12.633996937212899</v>
      </c>
      <c r="G16" s="155">
        <v>10.860366713681247</v>
      </c>
      <c r="H16" s="155">
        <v>25.37216828478963</v>
      </c>
      <c r="I16" s="158">
        <v>4.1047259818060899</v>
      </c>
    </row>
    <row r="17" spans="1:9" ht="14" customHeight="1" x14ac:dyDescent="0.45">
      <c r="A17" s="1" t="s">
        <v>23</v>
      </c>
      <c r="B17" s="154">
        <v>-5.6045571481072809</v>
      </c>
      <c r="C17" s="154">
        <v>-0.3566333808844635</v>
      </c>
      <c r="D17" s="154">
        <v>-25.523410734678354</v>
      </c>
      <c r="E17" s="154">
        <v>-2.3095548519277198</v>
      </c>
      <c r="F17" s="154">
        <v>14.207071776413315</v>
      </c>
      <c r="G17" s="154">
        <v>-2.0185614849187683</v>
      </c>
      <c r="H17" s="154">
        <v>23.247524752475179</v>
      </c>
      <c r="I17" s="154">
        <v>19.781420765027335</v>
      </c>
    </row>
    <row r="18" spans="1:9" ht="14" customHeight="1" x14ac:dyDescent="0.45">
      <c r="A18" s="80" t="s">
        <v>24</v>
      </c>
      <c r="B18" s="155">
        <v>-3.180212014134276</v>
      </c>
      <c r="C18" s="155">
        <v>-30.655526992287907</v>
      </c>
      <c r="D18" s="155">
        <v>39.340490797545954</v>
      </c>
      <c r="E18" s="155">
        <v>-11.317829457364336</v>
      </c>
      <c r="F18" s="155">
        <v>-8.0610021786492236</v>
      </c>
      <c r="G18" s="155">
        <v>52.362509682416693</v>
      </c>
      <c r="H18" s="155">
        <v>-8.2340195016251556</v>
      </c>
      <c r="I18" s="155">
        <v>-3.5437430786268376</v>
      </c>
    </row>
    <row r="19" spans="1:9" ht="14" customHeight="1" x14ac:dyDescent="0.45">
      <c r="A19" s="1" t="s">
        <v>25</v>
      </c>
      <c r="B19" s="154">
        <v>-30.353200883002206</v>
      </c>
      <c r="C19" s="154">
        <v>-26.855367621677583</v>
      </c>
      <c r="D19" s="154">
        <v>-51.92307692307692</v>
      </c>
      <c r="E19" s="154">
        <v>-24.824120603015064</v>
      </c>
      <c r="F19" s="154">
        <v>-35.679133858267711</v>
      </c>
      <c r="G19" s="154">
        <v>-28.313592780597872</v>
      </c>
      <c r="H19" s="154">
        <v>-52.19072164948453</v>
      </c>
      <c r="I19" s="154">
        <v>-26.106374340235494</v>
      </c>
    </row>
    <row r="20" spans="1:9" ht="14" customHeight="1" x14ac:dyDescent="0.45">
      <c r="A20" s="80" t="s">
        <v>26</v>
      </c>
      <c r="B20" s="155">
        <v>-16.257485029940135</v>
      </c>
      <c r="C20" s="155">
        <v>37.028112449799245</v>
      </c>
      <c r="D20" s="155">
        <v>-13.686928883591543</v>
      </c>
      <c r="E20" s="155">
        <v>10.20408163265305</v>
      </c>
      <c r="F20" s="155">
        <v>5.8823529411764719</v>
      </c>
      <c r="G20" s="155">
        <v>22.570960698689959</v>
      </c>
      <c r="H20" s="155">
        <v>17.024084460574063</v>
      </c>
      <c r="I20" s="155">
        <v>20.543130990415314</v>
      </c>
    </row>
    <row r="21" spans="1:9" ht="14" customHeight="1" x14ac:dyDescent="0.45">
      <c r="A21" s="1" t="s">
        <v>27</v>
      </c>
      <c r="B21" s="154">
        <v>45.441696113074158</v>
      </c>
      <c r="C21" s="154">
        <v>69.481180061037676</v>
      </c>
      <c r="D21" s="154">
        <v>64.551422319474838</v>
      </c>
      <c r="E21" s="154">
        <v>47.922252010723824</v>
      </c>
      <c r="F21" s="154">
        <v>69.710806697108026</v>
      </c>
      <c r="G21" s="154">
        <v>101.09529025191679</v>
      </c>
      <c r="H21" s="154">
        <v>76.878048780487717</v>
      </c>
      <c r="I21" s="159">
        <v>65.097511768661704</v>
      </c>
    </row>
    <row r="22" spans="1:9" ht="14" customHeight="1" x14ac:dyDescent="0.45">
      <c r="A22" s="80" t="s">
        <v>28</v>
      </c>
      <c r="B22" s="155">
        <v>-45.450168512277337</v>
      </c>
      <c r="C22" s="155">
        <v>-49.356548069644212</v>
      </c>
      <c r="D22" s="155">
        <v>-56.210015442311921</v>
      </c>
      <c r="E22" s="156">
        <v>-45.37205081669692</v>
      </c>
      <c r="F22" s="156">
        <v>-47.8515625</v>
      </c>
      <c r="G22" s="156">
        <v>-52.493074792243746</v>
      </c>
      <c r="H22" s="155">
        <v>-64.907179601878767</v>
      </c>
      <c r="I22" s="155">
        <v>-50.323011806638448</v>
      </c>
    </row>
    <row r="23" spans="1:9" ht="14" customHeight="1" x14ac:dyDescent="0.45">
      <c r="A23" s="82" t="s">
        <v>29</v>
      </c>
      <c r="B23" s="160">
        <v>13.72997711670485</v>
      </c>
      <c r="C23" s="161">
        <v>69.993164730006782</v>
      </c>
      <c r="D23" s="161">
        <v>21.693811074918568</v>
      </c>
      <c r="E23" s="161">
        <v>56.737588652482309</v>
      </c>
      <c r="F23" s="161">
        <v>93.173821252638973</v>
      </c>
      <c r="G23" s="161">
        <v>61.368348306841746</v>
      </c>
      <c r="H23" s="161">
        <v>169.51754385964909</v>
      </c>
      <c r="I23" s="162">
        <v>63.661202185792341</v>
      </c>
    </row>
    <row r="24" spans="1:9" ht="14" customHeight="1" x14ac:dyDescent="0.45">
      <c r="A24" s="52" t="s">
        <v>30</v>
      </c>
      <c r="B24" s="52"/>
      <c r="C24" s="52"/>
      <c r="D24" s="52"/>
      <c r="E24" s="52"/>
      <c r="F24" s="52"/>
      <c r="G24" s="52"/>
      <c r="H24" s="52"/>
      <c r="I24" s="52"/>
    </row>
    <row r="25" spans="1:9" ht="14" customHeight="1" x14ac:dyDescent="0.45">
      <c r="A25" s="1" t="s">
        <v>48</v>
      </c>
      <c r="B25" s="99" t="s">
        <v>66</v>
      </c>
      <c r="C25" s="154">
        <v>21.248763328569844</v>
      </c>
      <c r="D25" s="153">
        <v>27.418747647132658</v>
      </c>
      <c r="E25" s="99" t="s">
        <v>66</v>
      </c>
      <c r="F25" s="153">
        <v>41.144708423326115</v>
      </c>
      <c r="G25" s="102" t="s">
        <v>66</v>
      </c>
      <c r="H25" s="154">
        <v>35.432533818347146</v>
      </c>
      <c r="I25" s="99" t="s">
        <v>66</v>
      </c>
    </row>
    <row r="26" spans="1:9" ht="14" customHeight="1" x14ac:dyDescent="0.45">
      <c r="A26" s="80" t="s">
        <v>31</v>
      </c>
      <c r="B26" s="155">
        <v>-13.369963369963344</v>
      </c>
      <c r="C26" s="155">
        <v>25.339168490153163</v>
      </c>
      <c r="D26" s="155">
        <v>66.453516969995022</v>
      </c>
      <c r="E26" s="101" t="s">
        <v>66</v>
      </c>
      <c r="F26" s="155">
        <v>20.132610006027683</v>
      </c>
      <c r="G26" s="155">
        <v>67.359351241763804</v>
      </c>
      <c r="H26" s="155">
        <v>43.115942028985501</v>
      </c>
      <c r="I26" s="155">
        <v>37.978863936591843</v>
      </c>
    </row>
    <row r="27" spans="1:9" ht="14" customHeight="1" x14ac:dyDescent="0.45">
      <c r="A27" s="1" t="s">
        <v>32</v>
      </c>
      <c r="B27" s="153">
        <v>19.471296113631876</v>
      </c>
      <c r="C27" s="154">
        <v>13.626006380069899</v>
      </c>
      <c r="D27" s="99" t="s">
        <v>66</v>
      </c>
      <c r="E27" s="154">
        <v>59.227087395851761</v>
      </c>
      <c r="F27" s="154">
        <v>-7.131280388978956</v>
      </c>
      <c r="G27" s="99" t="s">
        <v>66</v>
      </c>
      <c r="H27" s="154">
        <v>47.364056391422757</v>
      </c>
      <c r="I27" s="153">
        <v>9.1548088462197761</v>
      </c>
    </row>
    <row r="28" spans="1:9" ht="14" customHeight="1" x14ac:dyDescent="0.45">
      <c r="A28" s="80" t="s">
        <v>33</v>
      </c>
      <c r="B28" s="101" t="s">
        <v>66</v>
      </c>
      <c r="C28" s="155">
        <v>12.670671764063378</v>
      </c>
      <c r="D28" s="155">
        <v>2.8075620767494369</v>
      </c>
      <c r="E28" s="97" t="s">
        <v>66</v>
      </c>
      <c r="F28" s="156">
        <v>16.837857666911216</v>
      </c>
      <c r="G28" s="156">
        <v>18.373796868266055</v>
      </c>
      <c r="H28" s="155">
        <v>-1.8181818181818299</v>
      </c>
      <c r="I28" s="97" t="s">
        <v>66</v>
      </c>
    </row>
    <row r="29" spans="1:9" ht="14" customHeight="1" x14ac:dyDescent="0.45">
      <c r="A29" s="1" t="s">
        <v>34</v>
      </c>
      <c r="B29" s="154">
        <v>-11.669458403126743</v>
      </c>
      <c r="C29" s="154">
        <v>5.1282051282051322</v>
      </c>
      <c r="D29" s="154">
        <v>10.264385692068444</v>
      </c>
      <c r="E29" s="154">
        <v>-15.465083404014713</v>
      </c>
      <c r="F29" s="153">
        <v>-25.859312549960055</v>
      </c>
      <c r="G29" s="154">
        <v>15.376044568245174</v>
      </c>
      <c r="H29" s="154">
        <v>26.924829157175424</v>
      </c>
      <c r="I29" s="154">
        <v>-3.5021097046413652</v>
      </c>
    </row>
    <row r="30" spans="1:9" ht="14" customHeight="1" x14ac:dyDescent="0.45">
      <c r="A30" s="80" t="s">
        <v>55</v>
      </c>
      <c r="B30" s="156">
        <v>-11.620138391791945</v>
      </c>
      <c r="C30" s="156">
        <v>-14.131218457101657</v>
      </c>
      <c r="D30" s="155">
        <v>-20.765027322404372</v>
      </c>
      <c r="E30" s="155">
        <v>-9.1956569909151131</v>
      </c>
      <c r="F30" s="156">
        <v>-7.28803716608597</v>
      </c>
      <c r="G30" s="156">
        <v>-2.6137135098438513</v>
      </c>
      <c r="H30" s="155">
        <v>-10.677966101694913</v>
      </c>
      <c r="I30" s="155">
        <v>-6.359032076533488</v>
      </c>
    </row>
    <row r="31" spans="1:9" ht="14" customHeight="1" x14ac:dyDescent="0.45">
      <c r="A31" s="1" t="s">
        <v>35</v>
      </c>
      <c r="B31" s="154">
        <v>0.58117008911269252</v>
      </c>
      <c r="C31" s="154">
        <v>-2.6552759178019247</v>
      </c>
      <c r="D31" s="154">
        <v>2.961753731343264</v>
      </c>
      <c r="E31" s="154">
        <v>6.1690784463061643</v>
      </c>
      <c r="F31" s="154">
        <v>6.8199431671402966</v>
      </c>
      <c r="G31" s="154">
        <v>6.3520509757069243</v>
      </c>
      <c r="H31" s="154">
        <v>4.7293746715712404</v>
      </c>
      <c r="I31" s="154">
        <v>6.5024130048259909</v>
      </c>
    </row>
    <row r="32" spans="1:9" ht="14" customHeight="1" x14ac:dyDescent="0.45">
      <c r="A32" s="80" t="s">
        <v>36</v>
      </c>
      <c r="B32" s="155">
        <v>17.947774917249038</v>
      </c>
      <c r="C32" s="155">
        <v>2.8754970939125712</v>
      </c>
      <c r="D32" s="97" t="s">
        <v>66</v>
      </c>
      <c r="E32" s="97" t="s">
        <v>66</v>
      </c>
      <c r="F32" s="156">
        <v>43.801369863013683</v>
      </c>
      <c r="G32" s="155">
        <v>42.054263565891503</v>
      </c>
      <c r="H32" s="155">
        <v>99.162790697674438</v>
      </c>
      <c r="I32" s="97" t="s">
        <v>66</v>
      </c>
    </row>
    <row r="33" spans="1:25" ht="14" customHeight="1" x14ac:dyDescent="0.45">
      <c r="A33" s="1" t="s">
        <v>37</v>
      </c>
      <c r="B33" s="163">
        <v>-2.6374785704841308E-2</v>
      </c>
      <c r="C33" s="163">
        <v>-6.3029856247696188</v>
      </c>
      <c r="D33" s="154">
        <v>-41.582767501756038</v>
      </c>
      <c r="E33" s="102" t="s">
        <v>66</v>
      </c>
      <c r="F33" s="154">
        <v>-29.806969165204332</v>
      </c>
      <c r="G33" s="99" t="s">
        <v>66</v>
      </c>
      <c r="H33" s="154">
        <v>-37.056112767687708</v>
      </c>
      <c r="I33" s="163">
        <v>-22.81834072878851</v>
      </c>
    </row>
    <row r="34" spans="1:25" ht="14" customHeight="1" x14ac:dyDescent="0.45">
      <c r="A34" s="80" t="s">
        <v>51</v>
      </c>
      <c r="B34" s="97" t="s">
        <v>66</v>
      </c>
      <c r="C34" s="155">
        <v>-16.020608439646743</v>
      </c>
      <c r="D34" s="155">
        <v>-24.63115116176342</v>
      </c>
      <c r="E34" s="155">
        <v>-18.452435138825663</v>
      </c>
      <c r="F34" s="155">
        <v>-24.755448772953493</v>
      </c>
      <c r="G34" s="155">
        <v>-15.614319122144259</v>
      </c>
      <c r="H34" s="155">
        <v>-20.969855832241123</v>
      </c>
      <c r="I34" s="155">
        <v>-25.019358169147388</v>
      </c>
    </row>
    <row r="35" spans="1:25" ht="14" customHeight="1" x14ac:dyDescent="0.45">
      <c r="A35" s="1" t="s">
        <v>38</v>
      </c>
      <c r="B35" s="99" t="s">
        <v>66</v>
      </c>
      <c r="C35" s="154">
        <v>-12.164107485604603</v>
      </c>
      <c r="D35" s="154">
        <v>-17.263591857768624</v>
      </c>
      <c r="E35" s="99" t="s">
        <v>66</v>
      </c>
      <c r="F35" s="154">
        <v>12.289287656334968</v>
      </c>
      <c r="G35" s="154">
        <v>19.032716927453762</v>
      </c>
      <c r="H35" s="154">
        <v>-5.3502694380292422</v>
      </c>
      <c r="I35" s="154">
        <v>-4.5284896740482754</v>
      </c>
    </row>
    <row r="36" spans="1:25" ht="14" customHeight="1" x14ac:dyDescent="0.45">
      <c r="A36" s="80" t="s">
        <v>39</v>
      </c>
      <c r="B36" s="155">
        <v>-7.316598560031129</v>
      </c>
      <c r="C36" s="155">
        <v>-15.703769797010947</v>
      </c>
      <c r="D36" s="155">
        <v>-18.552160748692515</v>
      </c>
      <c r="E36" s="155">
        <v>-14.266055045871584</v>
      </c>
      <c r="F36" s="155">
        <v>-29.428571428571402</v>
      </c>
      <c r="G36" s="155">
        <v>-17.386795713791937</v>
      </c>
      <c r="H36" s="155">
        <v>-45.072206739295709</v>
      </c>
      <c r="I36" s="155">
        <v>-22.434367541766107</v>
      </c>
    </row>
    <row r="37" spans="1:25" ht="14" customHeight="1" x14ac:dyDescent="0.45">
      <c r="A37" s="1" t="s">
        <v>57</v>
      </c>
      <c r="B37" s="99" t="s">
        <v>66</v>
      </c>
      <c r="C37" s="154">
        <v>30.697050938337746</v>
      </c>
      <c r="D37" s="154">
        <v>46.814814814814845</v>
      </c>
      <c r="E37" s="99" t="s">
        <v>66</v>
      </c>
      <c r="F37" s="164">
        <v>58.3333333333333</v>
      </c>
      <c r="G37" s="153">
        <v>22.4092116917626</v>
      </c>
      <c r="H37" s="154">
        <v>42.096120440069519</v>
      </c>
      <c r="I37" s="154">
        <v>27.99129804205942</v>
      </c>
    </row>
    <row r="38" spans="1:25" ht="14" customHeight="1" x14ac:dyDescent="0.45">
      <c r="A38" s="80" t="s">
        <v>56</v>
      </c>
      <c r="B38" s="101" t="s">
        <v>66</v>
      </c>
      <c r="C38" s="156">
        <v>-9.9931082012405525</v>
      </c>
      <c r="D38" s="155">
        <v>0</v>
      </c>
      <c r="E38" s="156">
        <v>11.982705373687462</v>
      </c>
      <c r="F38" s="155">
        <v>9.9552572706935507</v>
      </c>
      <c r="G38" s="155">
        <v>6.1620572537603557</v>
      </c>
      <c r="H38" s="155">
        <v>18.82443334613906</v>
      </c>
      <c r="I38" s="155">
        <v>10.808028821410165</v>
      </c>
    </row>
    <row r="39" spans="1:25" ht="14" customHeight="1" x14ac:dyDescent="0.45">
      <c r="A39" s="1" t="s">
        <v>40</v>
      </c>
      <c r="B39" s="154">
        <v>-18.034500784108729</v>
      </c>
      <c r="C39" s="154">
        <v>-33.918539325842701</v>
      </c>
      <c r="D39" s="154">
        <v>-41.284689741191116</v>
      </c>
      <c r="E39" s="153">
        <v>-13.813459268004758</v>
      </c>
      <c r="F39" s="153">
        <v>-21.693121693121686</v>
      </c>
      <c r="G39" s="99" t="s">
        <v>66</v>
      </c>
      <c r="H39" s="153">
        <v>-30.223123732251523</v>
      </c>
      <c r="I39" s="153">
        <v>-24.304227745910346</v>
      </c>
    </row>
    <row r="40" spans="1:25" ht="14" customHeight="1" x14ac:dyDescent="0.45">
      <c r="A40" s="81" t="s">
        <v>41</v>
      </c>
      <c r="B40" s="165">
        <v>-0.12185215272135785</v>
      </c>
      <c r="C40" s="165">
        <v>13.630781825624251</v>
      </c>
      <c r="D40" s="165">
        <v>5.1435406698564057</v>
      </c>
      <c r="E40" s="165">
        <v>6.9384555076440479</v>
      </c>
      <c r="F40" s="165">
        <v>0.20868113522536369</v>
      </c>
      <c r="G40" s="166">
        <v>-2.3569915254237572</v>
      </c>
      <c r="H40" s="165">
        <v>4.3285784554845108</v>
      </c>
      <c r="I40" s="165">
        <v>8.2879377431907209</v>
      </c>
    </row>
    <row r="41" spans="1:25" ht="14" customHeight="1" x14ac:dyDescent="0.45">
      <c r="A41" s="52" t="s">
        <v>42</v>
      </c>
      <c r="B41" s="52"/>
      <c r="C41" s="52"/>
      <c r="D41" s="52"/>
      <c r="E41" s="52"/>
      <c r="F41" s="52"/>
      <c r="G41" s="52"/>
      <c r="H41" s="52"/>
      <c r="I41" s="52"/>
    </row>
    <row r="42" spans="1:25" ht="14" customHeight="1" x14ac:dyDescent="0.45">
      <c r="A42" s="1" t="s">
        <v>43</v>
      </c>
      <c r="B42" s="102" t="s">
        <v>66</v>
      </c>
      <c r="C42" s="154">
        <v>-78.722769322590281</v>
      </c>
      <c r="D42" s="154">
        <v>-35.995370370370352</v>
      </c>
      <c r="E42" s="102" t="s">
        <v>66</v>
      </c>
      <c r="F42" s="154">
        <v>-76.68467443844186</v>
      </c>
      <c r="G42" s="154">
        <v>-23.288003885381258</v>
      </c>
      <c r="H42" s="154">
        <v>1.4995715509854124</v>
      </c>
      <c r="I42" s="153">
        <v>-50.84668192219678</v>
      </c>
    </row>
    <row r="43" spans="1:25" ht="14" customHeight="1" x14ac:dyDescent="0.45">
      <c r="A43" s="80" t="s">
        <v>44</v>
      </c>
      <c r="B43" s="155">
        <v>-33.630289532293965</v>
      </c>
      <c r="C43" s="155">
        <v>-25.865128660159719</v>
      </c>
      <c r="D43" s="155">
        <v>-27.582938388625589</v>
      </c>
      <c r="E43" s="155">
        <v>-35.50420168067231</v>
      </c>
      <c r="F43" s="155">
        <v>-21.009174311926625</v>
      </c>
      <c r="G43" s="156">
        <v>-17.02479338842975</v>
      </c>
      <c r="H43" s="155">
        <v>-9.0011393847322161</v>
      </c>
      <c r="I43" s="155">
        <v>-39.966273187183823</v>
      </c>
    </row>
    <row r="44" spans="1:25" ht="14" customHeight="1" x14ac:dyDescent="0.45">
      <c r="A44" s="1" t="s">
        <v>52</v>
      </c>
      <c r="B44" s="99" t="s">
        <v>66</v>
      </c>
      <c r="C44" s="154">
        <v>37.206537890044558</v>
      </c>
      <c r="D44" s="154">
        <v>-1.4608695652174153</v>
      </c>
      <c r="E44" s="154">
        <v>35.519908335720359</v>
      </c>
      <c r="F44" s="154">
        <v>26.51349380014587</v>
      </c>
      <c r="G44" s="154">
        <v>3.9569593891010113</v>
      </c>
      <c r="H44" s="154">
        <v>58.797943851324661</v>
      </c>
      <c r="I44" s="154">
        <v>28.696260048933929</v>
      </c>
    </row>
    <row r="45" spans="1:25" ht="14" customHeight="1" x14ac:dyDescent="0.45">
      <c r="A45" s="80" t="s">
        <v>45</v>
      </c>
      <c r="B45" s="155">
        <v>-41.606792945787078</v>
      </c>
      <c r="C45" s="155">
        <v>5.6421677802524162</v>
      </c>
      <c r="D45" s="155">
        <v>-4.4228356336260877</v>
      </c>
      <c r="E45" s="155">
        <v>-32.379248658318403</v>
      </c>
      <c r="F45" s="155">
        <v>24.974874371859322</v>
      </c>
      <c r="G45" s="155">
        <v>5.8862001308044309</v>
      </c>
      <c r="H45" s="155">
        <v>29.324790537210465</v>
      </c>
      <c r="I45" s="155">
        <v>24.225964149918532</v>
      </c>
    </row>
    <row r="46" spans="1:25" x14ac:dyDescent="0.45">
      <c r="A46" s="82" t="s">
        <v>46</v>
      </c>
      <c r="B46" s="161">
        <v>-31.275167785234892</v>
      </c>
      <c r="C46" s="161">
        <v>10.523504273504258</v>
      </c>
      <c r="D46" s="161">
        <v>-21.175969322539423</v>
      </c>
      <c r="E46" s="161">
        <v>-37.71389459274468</v>
      </c>
      <c r="F46" s="161">
        <v>-25.390915860014918</v>
      </c>
      <c r="G46" s="161">
        <v>-26.046322633075981</v>
      </c>
      <c r="H46" s="161">
        <v>2.2471910112359605</v>
      </c>
      <c r="I46" s="161">
        <v>-23.605805958747162</v>
      </c>
    </row>
    <row r="47" spans="1:25" x14ac:dyDescent="0.45">
      <c r="A47" s="1"/>
      <c r="B47" s="53"/>
      <c r="C47" s="53"/>
      <c r="D47" s="53"/>
      <c r="E47" s="53"/>
      <c r="F47" s="53"/>
      <c r="G47" s="53"/>
      <c r="H47" s="53"/>
      <c r="I47" s="53"/>
    </row>
    <row r="48" spans="1:25" s="35" customFormat="1" x14ac:dyDescent="0.45">
      <c r="A48" s="131" t="s">
        <v>62</v>
      </c>
      <c r="B48" s="29"/>
      <c r="C48" s="74"/>
      <c r="D48" s="90"/>
      <c r="E48" s="76"/>
      <c r="F48" s="89"/>
      <c r="G48" s="65"/>
      <c r="H48" s="29"/>
      <c r="I48" s="74"/>
      <c r="J48" s="29"/>
      <c r="K48" s="74"/>
      <c r="L48" s="90"/>
      <c r="M48" s="87"/>
      <c r="N48" s="89"/>
      <c r="O48" s="91"/>
      <c r="P48" s="29"/>
      <c r="Q48" s="74"/>
      <c r="R48" s="32"/>
      <c r="S48" s="33"/>
      <c r="T48" s="32"/>
      <c r="U48" s="33"/>
      <c r="V48" s="32"/>
      <c r="W48" s="33"/>
      <c r="X48" s="32"/>
      <c r="Y48" s="33"/>
    </row>
    <row r="49" spans="1:9" x14ac:dyDescent="0.45">
      <c r="A49" s="54" t="s">
        <v>12</v>
      </c>
      <c r="B49" s="55"/>
      <c r="C49" s="56"/>
      <c r="D49" s="56"/>
      <c r="E49" s="55"/>
      <c r="F49" s="56"/>
      <c r="G49" s="56"/>
      <c r="H49" s="56"/>
      <c r="I49" s="56"/>
    </row>
    <row r="50" spans="1:9" x14ac:dyDescent="0.45">
      <c r="A50" s="57" t="s">
        <v>53</v>
      </c>
      <c r="B50" s="57"/>
      <c r="C50" s="57"/>
      <c r="D50" s="57"/>
      <c r="E50" s="57"/>
      <c r="F50" s="57"/>
      <c r="G50" s="57"/>
      <c r="H50" s="57"/>
      <c r="I50" s="57"/>
    </row>
    <row r="51" spans="1:9" x14ac:dyDescent="0.45">
      <c r="A51" s="58" t="s">
        <v>14</v>
      </c>
      <c r="B51" s="55"/>
      <c r="C51" s="56"/>
      <c r="D51" s="56"/>
      <c r="E51" s="55"/>
      <c r="F51" s="56"/>
      <c r="G51" s="56"/>
      <c r="H51" s="56"/>
      <c r="I51" s="56"/>
    </row>
    <row r="52" spans="1:9" x14ac:dyDescent="0.45">
      <c r="A52" s="59" t="s">
        <v>15</v>
      </c>
      <c r="B52" s="60"/>
      <c r="C52" s="60"/>
      <c r="D52" s="60"/>
      <c r="E52" s="60"/>
      <c r="F52" s="60"/>
      <c r="G52" s="60"/>
      <c r="H52" s="60"/>
      <c r="I52" s="60"/>
    </row>
    <row r="53" spans="1:9" x14ac:dyDescent="0.45">
      <c r="A53" s="59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61" t="str">
        <f>+Índice!A14</f>
        <v>Fecha de actualización: 12 de noviembre de 2024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9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9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9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49B2056C-9B59-4A7A-82F2-895EA26E484F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1</vt:lpstr>
      <vt:lpstr>2</vt:lpstr>
      <vt:lpstr>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2024-11-08T20:05:02Z</dcterms:modified>
</cp:coreProperties>
</file>