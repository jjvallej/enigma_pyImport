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Z:\Mayoristas\boletines\mensual\2023\Octubre\"/>
    </mc:Choice>
  </mc:AlternateContent>
  <xr:revisionPtr revIDLastSave="0" documentId="13_ncr:1_{DD083CF1-2A9A-41A4-977B-817F4E7E1D5A}" xr6:coauthVersionLast="47" xr6:coauthVersionMax="47" xr10:uidLastSave="{00000000-0000-0000-0000-000000000000}"/>
  <bookViews>
    <workbookView xWindow="-110" yWindow="-110" windowWidth="19420" windowHeight="10420" tabRatio="815" xr2:uid="{00000000-000D-0000-FFFF-FFFF00000000}"/>
  </bookViews>
  <sheets>
    <sheet name="Índice" sheetId="519" r:id="rId1"/>
    <sheet name="Anexo 1" sheetId="520" r:id="rId2"/>
    <sheet name="Anexo 2" sheetId="521" r:id="rId3"/>
    <sheet name="Anexo 3" sheetId="5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2" i="519" l="1"/>
  <c r="A80" i="520"/>
  <c r="A52" i="521"/>
  <c r="A52" i="522"/>
  <c r="A11" i="519"/>
  <c r="A10" i="519" l="1"/>
</calcChain>
</file>

<file path=xl/sharedStrings.xml><?xml version="1.0" encoding="utf-8"?>
<sst xmlns="http://schemas.openxmlformats.org/spreadsheetml/2006/main" count="360" uniqueCount="93">
  <si>
    <t>Sistema de Información de Precios y Abastecimiento del Sector Agropecuario -SIPSA- 
Precios Mayoristas</t>
  </si>
  <si>
    <t>Precio $/Kg</t>
  </si>
  <si>
    <t>Barranquilla</t>
  </si>
  <si>
    <t>Bogotá</t>
  </si>
  <si>
    <t>Bucaramanga</t>
  </si>
  <si>
    <t>Cartagena</t>
  </si>
  <si>
    <t>Cali</t>
  </si>
  <si>
    <t>Cúcuta</t>
  </si>
  <si>
    <t>Medellín</t>
  </si>
  <si>
    <t>Pereira</t>
  </si>
  <si>
    <t>Precio</t>
  </si>
  <si>
    <t>Var %</t>
  </si>
  <si>
    <t>*Variedad predominante en el mercado</t>
  </si>
  <si>
    <t>** Los precios reportados para los huevos son $/unidad y los del aceite vegetal mezcla $/litro.</t>
  </si>
  <si>
    <t>n.d.: no disponible</t>
  </si>
  <si>
    <t xml:space="preserve"> -: no es posible calcular la variación</t>
  </si>
  <si>
    <t>Comportamiento de los precios mayoristas de los principales alimentos en las principales ocho ciudades.</t>
  </si>
  <si>
    <t>Hortalizas y verduras</t>
  </si>
  <si>
    <t>Ahuyama</t>
  </si>
  <si>
    <t>Arveja verde en vaina</t>
  </si>
  <si>
    <t>Cebolla cabezona blanca</t>
  </si>
  <si>
    <t>Cebolla junca</t>
  </si>
  <si>
    <t>Chócolo mazorca</t>
  </si>
  <si>
    <t>Habichuela</t>
  </si>
  <si>
    <t>Lechuga Batavia</t>
  </si>
  <si>
    <t>Pepino cohombro</t>
  </si>
  <si>
    <t>Pimentón</t>
  </si>
  <si>
    <t>Remolacha</t>
  </si>
  <si>
    <t>Tomate*</t>
  </si>
  <si>
    <t>Zanahoria</t>
  </si>
  <si>
    <t>Frutas frescas</t>
  </si>
  <si>
    <t>Banano*</t>
  </si>
  <si>
    <t>Coco</t>
  </si>
  <si>
    <t>Granadilla</t>
  </si>
  <si>
    <t>Guayaba pera</t>
  </si>
  <si>
    <t>Lulo</t>
  </si>
  <si>
    <t>Mandarina*</t>
  </si>
  <si>
    <t>Mango Tommy</t>
  </si>
  <si>
    <t>Maracuyá</t>
  </si>
  <si>
    <t>Mora de Castilla</t>
  </si>
  <si>
    <t>Piña *</t>
  </si>
  <si>
    <t>Tomate de árbol</t>
  </si>
  <si>
    <t>Tubérculos y plátanos</t>
  </si>
  <si>
    <t>Arracacha*</t>
  </si>
  <si>
    <t>Papa negra*</t>
  </si>
  <si>
    <t>Plátano hartón verde</t>
  </si>
  <si>
    <t>Yuca*</t>
  </si>
  <si>
    <t>SISTEMA DE INFORMACIÓN DE PRECIOS Y ABASTECIMIENTO DEL SECTOR AGROPECUARIO 
-SIPSA- 
PRECIOS MAYORISTAS</t>
  </si>
  <si>
    <t>Aguacate papelillo</t>
  </si>
  <si>
    <t>Var%: Variación porcentual con respecto al promedio del mes anterior. Dado que la variedad predominante en el mercado puede 
cambiar de un período a otro, las variaciones reportadas pueden obedecer a estos cambios, al igual que el mercado reportado en cada ciudad.</t>
  </si>
  <si>
    <t>Producto</t>
  </si>
  <si>
    <t>Manzana verde importada</t>
  </si>
  <si>
    <t>Papa criolla</t>
  </si>
  <si>
    <t>Var%: Variación porcentual con respecto al promedio del mismo mes del año anterior</t>
  </si>
  <si>
    <t>Var%: Variación porcentual en lo corrido del año</t>
  </si>
  <si>
    <t>Limón Tahití</t>
  </si>
  <si>
    <t>Papaya*</t>
  </si>
  <si>
    <t>Naranja*</t>
  </si>
  <si>
    <t>Octubre de 2023</t>
  </si>
  <si>
    <t>Fecha de actualización: 9 de noviembre de 2023</t>
  </si>
  <si>
    <t>Variación mensual. Octubre de 2023</t>
  </si>
  <si>
    <t>Variación año corrido. Octubre de 2023</t>
  </si>
  <si>
    <t>Variación anual. Octubre de 2023</t>
  </si>
  <si>
    <t>n.d.</t>
  </si>
  <si>
    <t>-</t>
  </si>
  <si>
    <t>Melón Cantalup</t>
  </si>
  <si>
    <t>Naranja Valencia</t>
  </si>
  <si>
    <t>Uva red globe nacional</t>
  </si>
  <si>
    <t>Papa criolla limpia</t>
  </si>
  <si>
    <t>Granos, cárnicos y procesados</t>
  </si>
  <si>
    <t>Arroz de primera</t>
  </si>
  <si>
    <t>Arveja verde seca importada</t>
  </si>
  <si>
    <t>Fríjol seco*</t>
  </si>
  <si>
    <t>Garbanzo importado</t>
  </si>
  <si>
    <t>Lenteja importada</t>
  </si>
  <si>
    <t>Maíz blanco trillado</t>
  </si>
  <si>
    <t>Huevo tipo AA**</t>
  </si>
  <si>
    <t>Queso cuajada</t>
  </si>
  <si>
    <t>Carne de cerdo, lomo sin hueso</t>
  </si>
  <si>
    <t>Carne de res, sobrebarriga</t>
  </si>
  <si>
    <t>Pechuga de pollo</t>
  </si>
  <si>
    <t>Aceite vegetal mezcla**</t>
  </si>
  <si>
    <t>Azúcar sulfitada</t>
  </si>
  <si>
    <t>Galletas saladas</t>
  </si>
  <si>
    <t>Harina de trigo</t>
  </si>
  <si>
    <t>Harina precocida de maíz</t>
  </si>
  <si>
    <t>Jugo instantáneo (sobre)</t>
  </si>
  <si>
    <t>Lomitos de atún en lata</t>
  </si>
  <si>
    <t>Margarina</t>
  </si>
  <si>
    <t>Panela*</t>
  </si>
  <si>
    <t>Pastas alimenticias</t>
  </si>
  <si>
    <t>Salsa de tomate doy pack</t>
  </si>
  <si>
    <t>Sardinas en 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</si>
</sst>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(* #,##0_);_(* \(#,##0\);_(* &quot;-&quot;??_);_(@_)"/>
  </numFmts>
  <fonts count="32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8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4" applyNumberFormat="0" applyAlignment="0" applyProtection="0"/>
    <xf numFmtId="0" fontId="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4" applyNumberFormat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28" borderId="0" applyNumberFormat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29" borderId="0" applyNumberFormat="0" applyBorder="0" applyAlignment="0" applyProtection="0"/>
    <xf numFmtId="0" fontId="6" fillId="0" borderId="0"/>
    <xf numFmtId="0" fontId="6" fillId="30" borderId="6" applyNumberFormat="0" applyFon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20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7">
    <xf numFmtId="0" fontId="0" fillId="0" borderId="0" xfId="0"/>
    <xf numFmtId="0" fontId="17" fillId="0" borderId="0" xfId="0" applyFont="1"/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 wrapText="1"/>
    </xf>
    <xf numFmtId="0" fontId="20" fillId="0" borderId="0" xfId="0" applyFont="1"/>
    <xf numFmtId="167" fontId="21" fillId="0" borderId="2" xfId="33" applyNumberFormat="1" applyFont="1" applyFill="1" applyBorder="1" applyAlignment="1">
      <alignment horizontal="center"/>
    </xf>
    <xf numFmtId="167" fontId="24" fillId="0" borderId="0" xfId="33" applyNumberFormat="1" applyFont="1" applyAlignment="1">
      <alignment horizontal="right"/>
    </xf>
    <xf numFmtId="2" fontId="24" fillId="0" borderId="0" xfId="33" applyNumberFormat="1" applyFont="1" applyAlignment="1">
      <alignment horizontal="right"/>
    </xf>
    <xf numFmtId="0" fontId="22" fillId="0" borderId="0" xfId="0" applyFont="1"/>
    <xf numFmtId="0" fontId="20" fillId="31" borderId="0" xfId="0" applyFont="1" applyFill="1"/>
    <xf numFmtId="0" fontId="28" fillId="31" borderId="0" xfId="0" applyFont="1" applyFill="1" applyAlignment="1">
      <alignment vertical="center"/>
    </xf>
    <xf numFmtId="0" fontId="25" fillId="32" borderId="0" xfId="0" applyFont="1" applyFill="1"/>
    <xf numFmtId="0" fontId="20" fillId="32" borderId="0" xfId="0" applyFont="1" applyFill="1"/>
    <xf numFmtId="0" fontId="19" fillId="31" borderId="0" xfId="0" applyFont="1" applyFill="1"/>
    <xf numFmtId="0" fontId="25" fillId="31" borderId="0" xfId="0" applyFont="1" applyFill="1"/>
    <xf numFmtId="0" fontId="23" fillId="0" borderId="0" xfId="0" applyFont="1"/>
    <xf numFmtId="0" fontId="17" fillId="0" borderId="0" xfId="0" applyFont="1" applyAlignment="1">
      <alignment horizontal="right"/>
    </xf>
    <xf numFmtId="0" fontId="19" fillId="33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0" fontId="2" fillId="31" borderId="0" xfId="31" quotePrefix="1" applyFill="1" applyBorder="1" applyAlignment="1" applyProtection="1">
      <alignment vertical="center"/>
    </xf>
    <xf numFmtId="4" fontId="21" fillId="0" borderId="2" xfId="33" applyNumberFormat="1" applyFont="1" applyFill="1" applyBorder="1" applyAlignment="1">
      <alignment horizontal="center"/>
    </xf>
    <xf numFmtId="0" fontId="23" fillId="33" borderId="0" xfId="36" applyFont="1" applyFill="1"/>
    <xf numFmtId="3" fontId="24" fillId="33" borderId="0" xfId="34" applyNumberFormat="1" applyFont="1" applyFill="1" applyBorder="1" applyAlignment="1">
      <alignment horizontal="right"/>
    </xf>
    <xf numFmtId="3" fontId="24" fillId="33" borderId="0" xfId="34" applyNumberFormat="1" applyFont="1" applyFill="1" applyBorder="1" applyAlignment="1">
      <alignment horizontal="right" vertical="center"/>
    </xf>
    <xf numFmtId="0" fontId="23" fillId="0" borderId="0" xfId="36" applyFont="1"/>
    <xf numFmtId="3" fontId="24" fillId="0" borderId="0" xfId="34" applyNumberFormat="1" applyFont="1" applyFill="1" applyBorder="1" applyAlignment="1">
      <alignment horizontal="right"/>
    </xf>
    <xf numFmtId="3" fontId="24" fillId="0" borderId="0" xfId="34" applyNumberFormat="1" applyFont="1" applyFill="1" applyBorder="1" applyAlignment="1">
      <alignment horizontal="right" vertical="center"/>
    </xf>
    <xf numFmtId="3" fontId="24" fillId="33" borderId="0" xfId="34" applyNumberFormat="1" applyFont="1" applyFill="1" applyBorder="1" applyAlignment="1">
      <alignment horizontal="center" vertical="center"/>
    </xf>
    <xf numFmtId="3" fontId="24" fillId="0" borderId="0" xfId="34" applyNumberFormat="1" applyFont="1" applyFill="1" applyBorder="1" applyAlignment="1">
      <alignment horizontal="right" vertical="justify"/>
    </xf>
    <xf numFmtId="3" fontId="24" fillId="0" borderId="0" xfId="34" applyNumberFormat="1" applyFont="1" applyFill="1" applyBorder="1" applyAlignment="1">
      <alignment horizontal="center" vertical="center"/>
    </xf>
    <xf numFmtId="0" fontId="23" fillId="0" borderId="2" xfId="36" applyFont="1" applyBorder="1"/>
    <xf numFmtId="3" fontId="24" fillId="0" borderId="2" xfId="34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0" fontId="23" fillId="33" borderId="0" xfId="0" applyFont="1" applyFill="1"/>
    <xf numFmtId="3" fontId="24" fillId="33" borderId="0" xfId="0" applyNumberFormat="1" applyFont="1" applyFill="1" applyAlignment="1">
      <alignment horizontal="right"/>
    </xf>
    <xf numFmtId="167" fontId="24" fillId="0" borderId="0" xfId="34" applyNumberFormat="1" applyFont="1" applyFill="1" applyBorder="1" applyAlignment="1">
      <alignment horizontal="right"/>
    </xf>
    <xf numFmtId="2" fontId="24" fillId="0" borderId="0" xfId="34" applyNumberFormat="1" applyFont="1" applyFill="1" applyBorder="1" applyAlignment="1">
      <alignment horizontal="right"/>
    </xf>
    <xf numFmtId="0" fontId="24" fillId="0" borderId="0" xfId="34" applyNumberFormat="1" applyFont="1" applyFill="1" applyBorder="1" applyAlignment="1">
      <alignment horizontal="right" vertical="center"/>
    </xf>
    <xf numFmtId="0" fontId="20" fillId="0" borderId="0" xfId="36" applyFont="1"/>
    <xf numFmtId="167" fontId="24" fillId="0" borderId="0" xfId="34" applyNumberFormat="1" applyFont="1" applyAlignment="1">
      <alignment horizontal="right"/>
    </xf>
    <xf numFmtId="2" fontId="24" fillId="0" borderId="0" xfId="34" applyNumberFormat="1" applyFont="1" applyAlignment="1">
      <alignment horizontal="right"/>
    </xf>
    <xf numFmtId="0" fontId="23" fillId="0" borderId="0" xfId="36" applyFont="1" applyAlignment="1">
      <alignment vertical="center"/>
    </xf>
    <xf numFmtId="0" fontId="23" fillId="0" borderId="0" xfId="36" applyFont="1" applyAlignment="1">
      <alignment horizontal="right"/>
    </xf>
    <xf numFmtId="2" fontId="23" fillId="0" borderId="0" xfId="34" applyNumberFormat="1" applyFont="1" applyFill="1" applyAlignment="1">
      <alignment horizontal="right"/>
    </xf>
    <xf numFmtId="167" fontId="21" fillId="0" borderId="0" xfId="34" applyNumberFormat="1" applyFont="1" applyFill="1" applyAlignment="1">
      <alignment horizontal="right"/>
    </xf>
    <xf numFmtId="167" fontId="23" fillId="0" borderId="0" xfId="34" applyNumberFormat="1" applyFont="1" applyFill="1" applyAlignment="1">
      <alignment horizontal="right"/>
    </xf>
    <xf numFmtId="2" fontId="21" fillId="0" borderId="0" xfId="34" applyNumberFormat="1" applyFont="1" applyFill="1" applyAlignment="1">
      <alignment horizontal="right"/>
    </xf>
    <xf numFmtId="0" fontId="24" fillId="0" borderId="0" xfId="36" applyFont="1"/>
    <xf numFmtId="0" fontId="17" fillId="0" borderId="0" xfId="43" applyFont="1"/>
    <xf numFmtId="0" fontId="19" fillId="33" borderId="0" xfId="43" applyFont="1" applyFill="1" applyAlignment="1">
      <alignment vertical="center"/>
    </xf>
    <xf numFmtId="0" fontId="29" fillId="33" borderId="0" xfId="43" applyFont="1" applyFill="1" applyAlignment="1">
      <alignment vertical="center" wrapText="1"/>
    </xf>
    <xf numFmtId="0" fontId="29" fillId="0" borderId="1" xfId="43" applyFont="1" applyBorder="1" applyAlignment="1">
      <alignment horizontal="center" vertical="center"/>
    </xf>
    <xf numFmtId="10" fontId="29" fillId="0" borderId="1" xfId="44" applyNumberFormat="1" applyFont="1" applyFill="1" applyBorder="1" applyAlignment="1">
      <alignment horizontal="center"/>
    </xf>
    <xf numFmtId="10" fontId="30" fillId="0" borderId="1" xfId="44" applyNumberFormat="1" applyFont="1" applyFill="1" applyBorder="1" applyAlignment="1">
      <alignment horizontal="center"/>
    </xf>
    <xf numFmtId="0" fontId="20" fillId="0" borderId="0" xfId="43" applyFont="1"/>
    <xf numFmtId="0" fontId="29" fillId="33" borderId="0" xfId="43" applyFont="1" applyFill="1" applyAlignment="1">
      <alignment horizontal="centerContinuous"/>
    </xf>
    <xf numFmtId="4" fontId="31" fillId="0" borderId="0" xfId="33" applyNumberFormat="1" applyFont="1" applyFill="1" applyBorder="1" applyAlignment="1">
      <alignment horizontal="right"/>
    </xf>
    <xf numFmtId="0" fontId="17" fillId="33" borderId="0" xfId="43" applyFont="1" applyFill="1"/>
    <xf numFmtId="4" fontId="31" fillId="33" borderId="0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justify"/>
    </xf>
    <xf numFmtId="4" fontId="31" fillId="0" borderId="0" xfId="33" applyNumberFormat="1" applyFont="1" applyFill="1" applyBorder="1" applyAlignment="1">
      <alignment horizontal="right" vertical="center"/>
    </xf>
    <xf numFmtId="0" fontId="17" fillId="33" borderId="2" xfId="43" applyFont="1" applyFill="1" applyBorder="1"/>
    <xf numFmtId="4" fontId="31" fillId="33" borderId="2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center"/>
    </xf>
    <xf numFmtId="4" fontId="31" fillId="0" borderId="0" xfId="33" applyNumberFormat="1" applyFont="1" applyFill="1" applyBorder="1" applyAlignment="1" applyProtection="1">
      <alignment horizontal="right"/>
    </xf>
    <xf numFmtId="4" fontId="31" fillId="33" borderId="2" xfId="33" applyNumberFormat="1" applyFont="1" applyFill="1" applyBorder="1" applyAlignment="1">
      <alignment horizontal="right" vertical="center"/>
    </xf>
    <xf numFmtId="0" fontId="17" fillId="0" borderId="2" xfId="43" applyFont="1" applyBorder="1"/>
    <xf numFmtId="4" fontId="31" fillId="0" borderId="2" xfId="33" applyNumberFormat="1" applyFont="1" applyFill="1" applyBorder="1" applyAlignment="1">
      <alignment horizontal="right"/>
    </xf>
    <xf numFmtId="0" fontId="23" fillId="0" borderId="0" xfId="43" applyFont="1"/>
    <xf numFmtId="10" fontId="17" fillId="0" borderId="0" xfId="45" applyNumberFormat="1" applyFont="1" applyFill="1" applyAlignment="1">
      <alignment horizontal="right"/>
    </xf>
    <xf numFmtId="10" fontId="29" fillId="0" borderId="0" xfId="45" applyNumberFormat="1" applyFont="1" applyFill="1" applyAlignment="1">
      <alignment horizontal="right"/>
    </xf>
    <xf numFmtId="0" fontId="23" fillId="0" borderId="0" xfId="43" applyFont="1" applyAlignment="1">
      <alignment vertical="center"/>
    </xf>
    <xf numFmtId="0" fontId="23" fillId="0" borderId="0" xfId="43" applyFont="1" applyAlignment="1">
      <alignment horizontal="left"/>
    </xf>
    <xf numFmtId="0" fontId="24" fillId="0" borderId="0" xfId="43" applyFont="1"/>
    <xf numFmtId="10" fontId="24" fillId="0" borderId="0" xfId="45" applyNumberFormat="1" applyFont="1" applyAlignment="1">
      <alignment horizontal="right"/>
    </xf>
    <xf numFmtId="0" fontId="22" fillId="0" borderId="0" xfId="43" applyFont="1"/>
    <xf numFmtId="10" fontId="29" fillId="0" borderId="1" xfId="45" applyNumberFormat="1" applyFont="1" applyFill="1" applyBorder="1" applyAlignment="1">
      <alignment horizontal="center"/>
    </xf>
    <xf numFmtId="10" fontId="30" fillId="0" borderId="1" xfId="45" applyNumberFormat="1" applyFont="1" applyFill="1" applyBorder="1" applyAlignment="1">
      <alignment horizontal="center"/>
    </xf>
    <xf numFmtId="4" fontId="24" fillId="0" borderId="0" xfId="33" applyNumberFormat="1" applyFont="1" applyFill="1" applyBorder="1" applyAlignment="1">
      <alignment horizontal="right"/>
    </xf>
    <xf numFmtId="167" fontId="24" fillId="33" borderId="0" xfId="33" applyNumberFormat="1" applyFont="1" applyFill="1" applyBorder="1" applyAlignment="1">
      <alignment horizontal="center" vertical="center"/>
    </xf>
    <xf numFmtId="0" fontId="24" fillId="3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4" fontId="31" fillId="33" borderId="2" xfId="33" applyNumberFormat="1" applyFont="1" applyFill="1" applyBorder="1" applyAlignment="1">
      <alignment horizontal="right" vertical="justify"/>
    </xf>
    <xf numFmtId="0" fontId="24" fillId="33" borderId="0" xfId="34" applyNumberFormat="1" applyFont="1" applyFill="1" applyBorder="1" applyAlignment="1">
      <alignment horizontal="right" vertical="center"/>
    </xf>
    <xf numFmtId="4" fontId="24" fillId="33" borderId="0" xfId="34" applyNumberFormat="1" applyFont="1" applyFill="1" applyBorder="1" applyAlignment="1">
      <alignment horizontal="right"/>
    </xf>
    <xf numFmtId="4" fontId="24" fillId="33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/>
    </xf>
    <xf numFmtId="4" fontId="24" fillId="0" borderId="2" xfId="34" applyNumberFormat="1" applyFont="1" applyFill="1" applyBorder="1" applyAlignment="1">
      <alignment horizontal="right"/>
    </xf>
    <xf numFmtId="4" fontId="24" fillId="0" borderId="0" xfId="34" applyNumberFormat="1" applyFont="1" applyFill="1" applyBorder="1" applyAlignment="1">
      <alignment horizontal="right" vertical="justify"/>
    </xf>
    <xf numFmtId="4" fontId="24" fillId="33" borderId="0" xfId="0" applyNumberFormat="1" applyFont="1" applyFill="1" applyAlignment="1">
      <alignment horizontal="right"/>
    </xf>
    <xf numFmtId="4" fontId="24" fillId="0" borderId="0" xfId="0" applyNumberFormat="1" applyFont="1" applyAlignment="1">
      <alignment horizontal="right"/>
    </xf>
    <xf numFmtId="4" fontId="24" fillId="33" borderId="0" xfId="0" applyNumberFormat="1" applyFont="1" applyFill="1" applyAlignment="1">
      <alignment horizontal="right" vertical="center"/>
    </xf>
    <xf numFmtId="4" fontId="24" fillId="0" borderId="0" xfId="0" applyNumberFormat="1" applyFont="1" applyAlignment="1">
      <alignment horizontal="right" vertical="center"/>
    </xf>
    <xf numFmtId="0" fontId="20" fillId="0" borderId="0" xfId="36" applyFont="1" applyAlignment="1">
      <alignment horizontal="right"/>
    </xf>
    <xf numFmtId="3" fontId="24" fillId="0" borderId="2" xfId="34" applyNumberFormat="1" applyFont="1" applyFill="1" applyBorder="1" applyAlignment="1">
      <alignment horizontal="center" vertical="center"/>
    </xf>
    <xf numFmtId="3" fontId="24" fillId="0" borderId="2" xfId="34" applyNumberFormat="1" applyFont="1" applyFill="1" applyBorder="1" applyAlignment="1">
      <alignment horizontal="right" vertical="center"/>
    </xf>
    <xf numFmtId="3" fontId="24" fillId="33" borderId="0" xfId="0" applyNumberFormat="1" applyFont="1" applyFill="1" applyAlignment="1">
      <alignment horizontal="center" vertical="center"/>
    </xf>
    <xf numFmtId="0" fontId="17" fillId="33" borderId="0" xfId="0" applyFont="1" applyFill="1"/>
    <xf numFmtId="0" fontId="17" fillId="33" borderId="2" xfId="0" applyFont="1" applyFill="1" applyBorder="1"/>
    <xf numFmtId="0" fontId="17" fillId="0" borderId="2" xfId="0" applyFont="1" applyBorder="1"/>
    <xf numFmtId="0" fontId="17" fillId="0" borderId="0" xfId="36" applyFont="1"/>
    <xf numFmtId="0" fontId="24" fillId="0" borderId="0" xfId="34" applyNumberFormat="1" applyFont="1" applyFill="1" applyBorder="1" applyAlignment="1">
      <alignment horizontal="right"/>
    </xf>
    <xf numFmtId="0" fontId="20" fillId="31" borderId="0" xfId="36" applyFont="1" applyFill="1"/>
    <xf numFmtId="0" fontId="24" fillId="33" borderId="0" xfId="0" applyFont="1" applyFill="1" applyAlignment="1">
      <alignment horizontal="right" vertical="center"/>
    </xf>
    <xf numFmtId="3" fontId="24" fillId="33" borderId="0" xfId="34" applyNumberFormat="1" applyFont="1" applyFill="1" applyBorder="1" applyAlignment="1">
      <alignment horizontal="right" vertical="justify"/>
    </xf>
    <xf numFmtId="4" fontId="24" fillId="33" borderId="0" xfId="34" applyNumberFormat="1" applyFont="1" applyFill="1" applyBorder="1" applyAlignment="1">
      <alignment horizontal="right" vertical="justify"/>
    </xf>
    <xf numFmtId="3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4" fontId="24" fillId="0" borderId="2" xfId="34" applyNumberFormat="1" applyFont="1" applyFill="1" applyBorder="1" applyAlignment="1">
      <alignment horizontal="right" vertical="center"/>
    </xf>
    <xf numFmtId="3" fontId="24" fillId="0" borderId="0" xfId="34" applyNumberFormat="1" applyFont="1" applyFill="1" applyBorder="1" applyAlignment="1">
      <alignment horizontal="center" vertical="justify"/>
    </xf>
    <xf numFmtId="3" fontId="24" fillId="0" borderId="0" xfId="0" applyNumberFormat="1" applyFont="1" applyAlignment="1">
      <alignment horizontal="center"/>
    </xf>
    <xf numFmtId="3" fontId="24" fillId="33" borderId="0" xfId="0" applyNumberFormat="1" applyFont="1" applyFill="1" applyAlignment="1">
      <alignment horizontal="center"/>
    </xf>
    <xf numFmtId="3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horizontal="center"/>
    </xf>
    <xf numFmtId="2" fontId="24" fillId="33" borderId="0" xfId="34" applyNumberFormat="1" applyFont="1" applyFill="1" applyBorder="1" applyAlignment="1">
      <alignment horizontal="center" vertical="center"/>
    </xf>
    <xf numFmtId="2" fontId="24" fillId="0" borderId="0" xfId="34" applyNumberFormat="1" applyFont="1" applyFill="1" applyBorder="1" applyAlignment="1">
      <alignment horizontal="center" vertical="center"/>
    </xf>
    <xf numFmtId="2" fontId="24" fillId="0" borderId="2" xfId="34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3" fontId="24" fillId="33" borderId="0" xfId="0" applyNumberFormat="1" applyFont="1" applyFill="1" applyAlignment="1">
      <alignment horizontal="right" vertical="center"/>
    </xf>
    <xf numFmtId="0" fontId="21" fillId="33" borderId="3" xfId="0" applyFont="1" applyFill="1" applyBorder="1" applyAlignment="1">
      <alignment horizontal="centerContinuous"/>
    </xf>
    <xf numFmtId="4" fontId="21" fillId="33" borderId="3" xfId="0" applyNumberFormat="1" applyFont="1" applyFill="1" applyBorder="1" applyAlignment="1">
      <alignment horizontal="centerContinuous"/>
    </xf>
    <xf numFmtId="0" fontId="21" fillId="32" borderId="9" xfId="0" applyFont="1" applyFill="1" applyBorder="1" applyAlignment="1">
      <alignment horizontal="centerContinuous"/>
    </xf>
    <xf numFmtId="0" fontId="21" fillId="32" borderId="1" xfId="0" applyFont="1" applyFill="1" applyBorder="1" applyAlignment="1">
      <alignment horizontal="centerContinuous"/>
    </xf>
    <xf numFmtId="4" fontId="21" fillId="32" borderId="1" xfId="0" applyNumberFormat="1" applyFont="1" applyFill="1" applyBorder="1" applyAlignment="1">
      <alignment horizontal="centerContinuous"/>
    </xf>
    <xf numFmtId="4" fontId="31" fillId="33" borderId="0" xfId="33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right" vertical="center"/>
    </xf>
    <xf numFmtId="4" fontId="31" fillId="0" borderId="0" xfId="33" applyNumberFormat="1" applyFont="1" applyFill="1" applyBorder="1" applyAlignment="1">
      <alignment horizontal="center" vertical="center"/>
    </xf>
    <xf numFmtId="4" fontId="29" fillId="33" borderId="0" xfId="33" applyNumberFormat="1" applyFont="1" applyFill="1" applyBorder="1" applyAlignment="1">
      <alignment horizontal="right"/>
    </xf>
    <xf numFmtId="0" fontId="23" fillId="0" borderId="2" xfId="0" applyFont="1" applyBorder="1"/>
    <xf numFmtId="3" fontId="24" fillId="0" borderId="2" xfId="0" applyNumberFormat="1" applyFont="1" applyBorder="1" applyAlignment="1">
      <alignment horizontal="right"/>
    </xf>
    <xf numFmtId="4" fontId="24" fillId="0" borderId="2" xfId="0" applyNumberFormat="1" applyFont="1" applyBorder="1" applyAlignment="1">
      <alignment horizontal="right"/>
    </xf>
    <xf numFmtId="3" fontId="24" fillId="0" borderId="2" xfId="0" applyNumberFormat="1" applyFont="1" applyBorder="1" applyAlignment="1">
      <alignment horizontal="right" vertical="center"/>
    </xf>
    <xf numFmtId="4" fontId="24" fillId="0" borderId="2" xfId="0" applyNumberFormat="1" applyFont="1" applyBorder="1" applyAlignment="1">
      <alignment horizontal="right" vertical="center"/>
    </xf>
    <xf numFmtId="3" fontId="24" fillId="0" borderId="2" xfId="0" applyNumberFormat="1" applyFont="1" applyBorder="1" applyAlignment="1">
      <alignment horizontal="center"/>
    </xf>
    <xf numFmtId="2" fontId="24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right" vertical="center"/>
    </xf>
    <xf numFmtId="2" fontId="24" fillId="0" borderId="0" xfId="0" applyNumberFormat="1" applyFont="1" applyAlignment="1">
      <alignment horizontal="right" vertical="center"/>
    </xf>
    <xf numFmtId="4" fontId="31" fillId="33" borderId="0" xfId="33" applyNumberFormat="1" applyFont="1" applyFill="1" applyBorder="1" applyAlignment="1" applyProtection="1">
      <alignment horizontal="center" vertical="center"/>
    </xf>
    <xf numFmtId="4" fontId="31" fillId="33" borderId="0" xfId="33" applyNumberFormat="1" applyFont="1" applyFill="1" applyBorder="1" applyAlignment="1" applyProtection="1">
      <alignment horizontal="right" vertical="center"/>
    </xf>
    <xf numFmtId="4" fontId="31" fillId="0" borderId="0" xfId="33" applyNumberFormat="1" applyFont="1" applyFill="1" applyBorder="1" applyAlignment="1" applyProtection="1">
      <alignment horizontal="center" vertical="center"/>
    </xf>
    <xf numFmtId="4" fontId="31" fillId="33" borderId="0" xfId="33" applyNumberFormat="1" applyFont="1" applyFill="1" applyBorder="1" applyAlignment="1" applyProtection="1">
      <alignment horizontal="right" vertical="justify"/>
    </xf>
    <xf numFmtId="4" fontId="31" fillId="0" borderId="0" xfId="33" applyNumberFormat="1" applyFont="1" applyFill="1" applyBorder="1" applyAlignment="1" applyProtection="1">
      <alignment horizontal="right" vertical="center"/>
    </xf>
    <xf numFmtId="0" fontId="24" fillId="0" borderId="0" xfId="0" applyFont="1"/>
    <xf numFmtId="3" fontId="24" fillId="33" borderId="0" xfId="34" applyNumberFormat="1" applyFont="1" applyFill="1" applyBorder="1" applyAlignment="1">
      <alignment horizontal="center"/>
    </xf>
    <xf numFmtId="0" fontId="23" fillId="33" borderId="2" xfId="36" applyFont="1" applyFill="1" applyBorder="1"/>
    <xf numFmtId="3" fontId="24" fillId="33" borderId="2" xfId="34" applyNumberFormat="1" applyFont="1" applyFill="1" applyBorder="1" applyAlignment="1">
      <alignment horizontal="right"/>
    </xf>
    <xf numFmtId="2" fontId="24" fillId="33" borderId="2" xfId="34" applyNumberFormat="1" applyFont="1" applyFill="1" applyBorder="1" applyAlignment="1">
      <alignment horizontal="center" vertical="center"/>
    </xf>
    <xf numFmtId="4" fontId="24" fillId="33" borderId="2" xfId="34" applyNumberFormat="1" applyFont="1" applyFill="1" applyBorder="1" applyAlignment="1">
      <alignment horizontal="right"/>
    </xf>
    <xf numFmtId="3" fontId="24" fillId="33" borderId="2" xfId="34" applyNumberFormat="1" applyFont="1" applyFill="1" applyBorder="1" applyAlignment="1">
      <alignment horizontal="right" vertical="center"/>
    </xf>
    <xf numFmtId="4" fontId="24" fillId="33" borderId="2" xfId="34" applyNumberFormat="1" applyFont="1" applyFill="1" applyBorder="1" applyAlignment="1">
      <alignment horizontal="right" vertical="center"/>
    </xf>
    <xf numFmtId="164" fontId="24" fillId="0" borderId="0" xfId="34" applyFont="1" applyFill="1" applyBorder="1" applyAlignment="1">
      <alignment horizontal="right"/>
    </xf>
    <xf numFmtId="164" fontId="24" fillId="0" borderId="0" xfId="34" applyFont="1" applyAlignment="1">
      <alignment horizontal="right"/>
    </xf>
    <xf numFmtId="0" fontId="27" fillId="32" borderId="0" xfId="0" applyFont="1" applyFill="1" applyAlignment="1">
      <alignment horizontal="center" vertical="center" wrapText="1"/>
    </xf>
    <xf numFmtId="0" fontId="25" fillId="31" borderId="0" xfId="0" applyFont="1" applyFill="1" applyAlignment="1">
      <alignment horizontal="center"/>
    </xf>
    <xf numFmtId="0" fontId="26" fillId="34" borderId="0" xfId="0" applyFont="1" applyFill="1" applyAlignment="1">
      <alignment horizontal="center" vertical="center" wrapText="1"/>
    </xf>
    <xf numFmtId="0" fontId="23" fillId="0" borderId="0" xfId="36" applyFont="1" applyAlignment="1">
      <alignment horizontal="left" vertical="center" wrapText="1"/>
    </xf>
    <xf numFmtId="0" fontId="23" fillId="0" borderId="0" xfId="36" applyFont="1" applyAlignment="1">
      <alignment horizontal="left" vertical="center"/>
    </xf>
    <xf numFmtId="0" fontId="18" fillId="34" borderId="0" xfId="0" applyFont="1" applyFill="1" applyAlignment="1">
      <alignment horizontal="center" vertical="center" wrapText="1"/>
    </xf>
    <xf numFmtId="167" fontId="22" fillId="0" borderId="1" xfId="33" applyNumberFormat="1" applyFont="1" applyFill="1" applyBorder="1" applyAlignment="1">
      <alignment horizontal="center"/>
    </xf>
    <xf numFmtId="167" fontId="21" fillId="0" borderId="1" xfId="33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34" borderId="0" xfId="43" applyFont="1" applyFill="1" applyAlignment="1">
      <alignment horizontal="center" vertical="center" wrapText="1"/>
    </xf>
    <xf numFmtId="2" fontId="24" fillId="33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center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2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1C000000}"/>
    <cellStyle name="Euro 2" xfId="30" xr:uid="{00000000-0005-0000-0000-00001D000000}"/>
    <cellStyle name="Hipervínculo" xfId="31" builtinId="8"/>
    <cellStyle name="Incorrecto" xfId="32" builtinId="27" customBuiltin="1"/>
    <cellStyle name="Millares" xfId="33" builtinId="3"/>
    <cellStyle name="Millares 2" xfId="34" xr:uid="{00000000-0005-0000-0000-000021000000}"/>
    <cellStyle name="Neutral" xfId="35" builtinId="28" customBuiltin="1"/>
    <cellStyle name="Normal" xfId="0" builtinId="0"/>
    <cellStyle name="Normal 2" xfId="36" xr:uid="{00000000-0005-0000-0000-000024000000}"/>
    <cellStyle name="Normal 3" xfId="43" xr:uid="{674C42A4-B064-4353-9D04-968834AD136F}"/>
    <cellStyle name="Notas 2" xfId="37" xr:uid="{00000000-0005-0000-0000-000025000000}"/>
    <cellStyle name="Porcentaje 2" xfId="38" xr:uid="{00000000-0005-0000-0000-000026000000}"/>
    <cellStyle name="Porcentaje 2 2" xfId="45" xr:uid="{D14C4C04-AF22-4D25-B65E-B19B91AE0366}"/>
    <cellStyle name="Porcentaje 3" xfId="39" xr:uid="{00000000-0005-0000-0000-000027000000}"/>
    <cellStyle name="Porcentaje 4" xfId="44" xr:uid="{CF6C299B-C562-4F38-84BF-B1724B9C16BA}"/>
    <cellStyle name="Salida 2" xfId="40" xr:uid="{00000000-0005-0000-0000-000029000000}"/>
    <cellStyle name="Título" xfId="41" builtinId="15" customBuiltin="1"/>
    <cellStyle name="Total" xfId="4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117923</xdr:colOff>
      <xdr:row>0</xdr:row>
      <xdr:rowOff>117922</xdr:rowOff>
    </xdr:from>
    <xdr:to>
      <xdr:col>11</xdr:col>
      <xdr:colOff>794799</xdr:colOff>
      <xdr:row>3</xdr:row>
      <xdr:rowOff>226786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46F869A5-040C-A07A-895E-A02D15904AB2}"/>
            </a:ext>
          </a:extLst>
        </xdr:cNvPr>
        <xdr:cNvGrpSpPr/>
      </xdr:nvGrpSpPr>
      <xdr:grpSpPr>
        <a:xfrm>
          <a:off x="117923" y="117922"/>
          <a:ext cx="9276590" cy="952507"/>
          <a:chOff x="117923" y="117922"/>
          <a:chExt cx="9276590" cy="952507"/>
        </a:xfrm>
      </xdr:grpSpPr>
      <xdr:pic>
        <xdr:nvPicPr>
          <xdr:cNvPr id="7" name="Imagen 12">
            <a:extLst>
              <a:ext uri="{FF2B5EF4-FFF2-40B4-BE49-F238E27FC236}">
                <a16:creationId xmlns:a16="http://schemas.microsoft.com/office/drawing/2014/main" id="{EC5C623D-E846-7844-B31F-7ED4E0C818E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Imagen 17">
            <a:extLst>
              <a:ext uri="{FF2B5EF4-FFF2-40B4-BE49-F238E27FC236}">
                <a16:creationId xmlns:a16="http://schemas.microsoft.com/office/drawing/2014/main" id="{6C708EB2-DBDC-7983-BB8E-AA47F03ADFF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Imagen 17">
            <a:extLst>
              <a:ext uri="{FF2B5EF4-FFF2-40B4-BE49-F238E27FC236}">
                <a16:creationId xmlns:a16="http://schemas.microsoft.com/office/drawing/2014/main" id="{C2267695-EF5B-4C04-A0D5-31E4797E5AD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104588</xdr:colOff>
      <xdr:row>0</xdr:row>
      <xdr:rowOff>112058</xdr:rowOff>
    </xdr:from>
    <xdr:to>
      <xdr:col>16</xdr:col>
      <xdr:colOff>371649</xdr:colOff>
      <xdr:row>2</xdr:row>
      <xdr:rowOff>459447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9FB54041-51D8-4BD6-BBB9-7DD6309018B8}"/>
            </a:ext>
          </a:extLst>
        </xdr:cNvPr>
        <xdr:cNvGrpSpPr/>
      </xdr:nvGrpSpPr>
      <xdr:grpSpPr>
        <a:xfrm>
          <a:off x="104588" y="112058"/>
          <a:ext cx="9276590" cy="952507"/>
          <a:chOff x="117923" y="117922"/>
          <a:chExt cx="9276590" cy="952507"/>
        </a:xfrm>
      </xdr:grpSpPr>
      <xdr:pic>
        <xdr:nvPicPr>
          <xdr:cNvPr id="6" name="Imagen 12">
            <a:extLst>
              <a:ext uri="{FF2B5EF4-FFF2-40B4-BE49-F238E27FC236}">
                <a16:creationId xmlns:a16="http://schemas.microsoft.com/office/drawing/2014/main" id="{5A36D389-2E3D-D7C7-A7A3-BBD70601280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" name="Imagen 17">
            <a:extLst>
              <a:ext uri="{FF2B5EF4-FFF2-40B4-BE49-F238E27FC236}">
                <a16:creationId xmlns:a16="http://schemas.microsoft.com/office/drawing/2014/main" id="{3DED9682-B4FD-F0E7-2B10-7115A8D1CCC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17">
            <a:extLst>
              <a:ext uri="{FF2B5EF4-FFF2-40B4-BE49-F238E27FC236}">
                <a16:creationId xmlns:a16="http://schemas.microsoft.com/office/drawing/2014/main" id="{C603BE59-7FB2-9130-FC01-28DCC9F625D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82550</xdr:rowOff>
    </xdr:from>
    <xdr:to>
      <xdr:col>9</xdr:col>
      <xdr:colOff>31750</xdr:colOff>
      <xdr:row>2</xdr:row>
      <xdr:rowOff>231605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4AD5341D-277B-4E5A-A250-7FF3DAB63E31}"/>
            </a:ext>
          </a:extLst>
        </xdr:cNvPr>
        <xdr:cNvGrpSpPr>
          <a:grpSpLocks noChangeAspect="1"/>
        </xdr:cNvGrpSpPr>
      </xdr:nvGrpSpPr>
      <xdr:grpSpPr>
        <a:xfrm>
          <a:off x="25400" y="82550"/>
          <a:ext cx="7744279" cy="793126"/>
          <a:chOff x="117923" y="117922"/>
          <a:chExt cx="9276590" cy="952507"/>
        </a:xfrm>
      </xdr:grpSpPr>
      <xdr:pic>
        <xdr:nvPicPr>
          <xdr:cNvPr id="8" name="Imagen 12">
            <a:extLst>
              <a:ext uri="{FF2B5EF4-FFF2-40B4-BE49-F238E27FC236}">
                <a16:creationId xmlns:a16="http://schemas.microsoft.com/office/drawing/2014/main" id="{2EED3DA3-D9D1-F5AC-8C3F-95B31FE8E9D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Imagen 17">
            <a:extLst>
              <a:ext uri="{FF2B5EF4-FFF2-40B4-BE49-F238E27FC236}">
                <a16:creationId xmlns:a16="http://schemas.microsoft.com/office/drawing/2014/main" id="{A10EFA9F-8DCD-3A34-28E2-39F02B0C08A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" name="Imagen 17">
            <a:extLst>
              <a:ext uri="{FF2B5EF4-FFF2-40B4-BE49-F238E27FC236}">
                <a16:creationId xmlns:a16="http://schemas.microsoft.com/office/drawing/2014/main" id="{E8063692-60C0-AB45-F120-E52658D44A3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95250</xdr:rowOff>
    </xdr:from>
    <xdr:to>
      <xdr:col>9</xdr:col>
      <xdr:colOff>6350</xdr:colOff>
      <xdr:row>2</xdr:row>
      <xdr:rowOff>237955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D6741C9D-BFC4-4D3D-ACA4-758A8756284A}"/>
            </a:ext>
          </a:extLst>
        </xdr:cNvPr>
        <xdr:cNvGrpSpPr>
          <a:grpSpLocks noChangeAspect="1"/>
        </xdr:cNvGrpSpPr>
      </xdr:nvGrpSpPr>
      <xdr:grpSpPr>
        <a:xfrm>
          <a:off x="0" y="95250"/>
          <a:ext cx="7759700" cy="796755"/>
          <a:chOff x="117923" y="117922"/>
          <a:chExt cx="9276590" cy="952507"/>
        </a:xfrm>
      </xdr:grpSpPr>
      <xdr:pic>
        <xdr:nvPicPr>
          <xdr:cNvPr id="12" name="Imagen 12">
            <a:extLst>
              <a:ext uri="{FF2B5EF4-FFF2-40B4-BE49-F238E27FC236}">
                <a16:creationId xmlns:a16="http://schemas.microsoft.com/office/drawing/2014/main" id="{94CFBC04-A8B5-CFA4-DB15-DAB1CC7293C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" name="Imagen 17">
            <a:extLst>
              <a:ext uri="{FF2B5EF4-FFF2-40B4-BE49-F238E27FC236}">
                <a16:creationId xmlns:a16="http://schemas.microsoft.com/office/drawing/2014/main" id="{60EA8724-E23F-B333-91F3-EAD0B5C0C7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4" name="Imagen 17">
            <a:extLst>
              <a:ext uri="{FF2B5EF4-FFF2-40B4-BE49-F238E27FC236}">
                <a16:creationId xmlns:a16="http://schemas.microsoft.com/office/drawing/2014/main" id="{5FF1FA69-5445-F33D-7F14-CBD60944602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9"/>
  <sheetViews>
    <sheetView showGridLines="0" tabSelected="1" zoomScale="70" zoomScaleNormal="70" workbookViewId="0">
      <selection activeCell="A5" sqref="A5:L6"/>
    </sheetView>
  </sheetViews>
  <sheetFormatPr baseColWidth="10" defaultColWidth="11.453125" defaultRowHeight="16" x14ac:dyDescent="0.45"/>
  <cols>
    <col min="1" max="1" width="6.26953125" style="14" customWidth="1"/>
    <col min="2" max="2" width="11.453125" style="9"/>
    <col min="3" max="3" width="14" style="9" customWidth="1"/>
    <col min="4" max="16384" width="11.453125" style="9"/>
  </cols>
  <sheetData>
    <row r="1" spans="1:14" ht="22" customHeight="1" x14ac:dyDescent="0.45">
      <c r="A1" s="155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</row>
    <row r="2" spans="1:14" ht="22" customHeight="1" x14ac:dyDescent="0.45">
      <c r="A2" s="155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</row>
    <row r="3" spans="1:14" ht="22" customHeight="1" x14ac:dyDescent="0.4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N3" s="4"/>
    </row>
    <row r="4" spans="1:14" ht="22" customHeight="1" x14ac:dyDescent="0.4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</row>
    <row r="5" spans="1:14" ht="36" customHeight="1" x14ac:dyDescent="0.45">
      <c r="A5" s="156" t="s">
        <v>47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</row>
    <row r="6" spans="1:14" ht="31.5" customHeight="1" x14ac:dyDescent="0.45">
      <c r="A6" s="156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</row>
    <row r="7" spans="1:14" x14ac:dyDescent="0.45">
      <c r="A7" s="154" t="s">
        <v>58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</row>
    <row r="8" spans="1:14" ht="15" customHeight="1" x14ac:dyDescent="0.45">
      <c r="A8" s="154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</row>
    <row r="9" spans="1:14" x14ac:dyDescent="0.45">
      <c r="A9" s="154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</row>
    <row r="10" spans="1:14" s="10" customFormat="1" ht="31.5" customHeight="1" x14ac:dyDescent="0.25">
      <c r="A10" s="19" t="str">
        <f>+"Anexo 1. "&amp;'Anexo 1'!A6&amp;" "&amp;'Anexo 1'!A7</f>
        <v>Anexo 1. Comportamiento de los precios mayoristas de los principales alimentos en las principales ocho ciudades. Variación mensual. Octubre de 2023</v>
      </c>
    </row>
    <row r="11" spans="1:14" s="10" customFormat="1" ht="31.5" customHeight="1" x14ac:dyDescent="0.25">
      <c r="A11" s="19" t="str">
        <f>+"Anexo 2. "&amp;'Anexo 2'!A6&amp;" "&amp;'Anexo 2'!A7</f>
        <v>Anexo 2. Comportamiento de los precios mayoristas de los principales alimentos en las principales ocho ciudades. Variación año corrido. Octubre de 2023</v>
      </c>
    </row>
    <row r="12" spans="1:14" s="10" customFormat="1" ht="31.5" customHeight="1" x14ac:dyDescent="0.25">
      <c r="A12" s="19" t="str">
        <f>+"Anexo 3. "&amp;'Anexo 3'!A6&amp;" "&amp;'Anexo 3'!A7</f>
        <v>Anexo 3. Comportamiento de los precios mayoristas de los principales alimentos en las principales ocho ciudades. Variación anual. Octubre de 2023</v>
      </c>
    </row>
    <row r="13" spans="1:14" x14ac:dyDescent="0.4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4" ht="18.75" customHeight="1" x14ac:dyDescent="0.45">
      <c r="A14" s="13" t="s">
        <v>59</v>
      </c>
    </row>
    <row r="15" spans="1:14" s="4" customFormat="1" ht="30" customHeight="1" x14ac:dyDescent="0.45"/>
    <row r="16" spans="1:14" s="4" customFormat="1" ht="32.25" customHeight="1" x14ac:dyDescent="0.45"/>
    <row r="17" spans="1:1" s="4" customFormat="1" ht="34.5" customHeight="1" x14ac:dyDescent="0.45"/>
    <row r="18" spans="1:1" s="4" customFormat="1" x14ac:dyDescent="0.45"/>
    <row r="19" spans="1:1" x14ac:dyDescent="0.45">
      <c r="A19" s="9"/>
    </row>
  </sheetData>
  <mergeCells count="3">
    <mergeCell ref="A7:L9"/>
    <mergeCell ref="A1:L4"/>
    <mergeCell ref="A5:L6"/>
  </mergeCells>
  <phoneticPr fontId="3" type="noConversion"/>
  <hyperlinks>
    <hyperlink ref="A10" location="'Anexo 1'!A1" display="'Anexo 1'!A1" xr:uid="{00000000-0004-0000-0000-000000000000}"/>
    <hyperlink ref="A11" location="'Anexo 1'!A1" display="'Anexo 1'!A1" xr:uid="{549AA18A-F416-4462-A600-6B2E456340C2}"/>
    <hyperlink ref="A12" location="'Anexo 1'!A1" display="'Anexo 1'!A1" xr:uid="{0B4092F7-A9A7-4AEB-82ED-D56014BF70B6}"/>
  </hyperlink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0"/>
  <sheetViews>
    <sheetView showGridLines="0" zoomScale="85" zoomScaleNormal="85" workbookViewId="0">
      <selection activeCell="M33" sqref="M33"/>
    </sheetView>
  </sheetViews>
  <sheetFormatPr baseColWidth="10" defaultColWidth="11.453125" defaultRowHeight="16" x14ac:dyDescent="0.45"/>
  <cols>
    <col min="1" max="1" width="24.453125" style="4" customWidth="1"/>
    <col min="2" max="2" width="7.1796875" style="4" customWidth="1"/>
    <col min="3" max="3" width="6.7265625" style="18" customWidth="1"/>
    <col min="4" max="4" width="7.1796875" style="4" customWidth="1"/>
    <col min="5" max="5" width="6.7265625" style="18" customWidth="1"/>
    <col min="6" max="6" width="7.1796875" style="4" customWidth="1"/>
    <col min="7" max="7" width="6.7265625" style="18" customWidth="1"/>
    <col min="8" max="8" width="7.1796875" style="4" customWidth="1"/>
    <col min="9" max="9" width="6.7265625" style="18" customWidth="1"/>
    <col min="10" max="10" width="7.1796875" style="4" customWidth="1"/>
    <col min="11" max="11" width="6.7265625" style="18" customWidth="1"/>
    <col min="12" max="12" width="7.1796875" style="4" customWidth="1"/>
    <col min="13" max="13" width="6.7265625" style="18" customWidth="1"/>
    <col min="14" max="14" width="7.1796875" style="4" customWidth="1"/>
    <col min="15" max="15" width="6.7265625" style="18" customWidth="1"/>
    <col min="16" max="16" width="7.1796875" style="4" customWidth="1"/>
    <col min="17" max="17" width="6.7265625" style="18" customWidth="1"/>
    <col min="18" max="16384" width="11.453125" style="4"/>
  </cols>
  <sheetData>
    <row r="1" spans="1:17" s="1" customFormat="1" ht="14" x14ac:dyDescent="0.4">
      <c r="C1" s="16"/>
      <c r="E1" s="16"/>
      <c r="G1" s="16"/>
      <c r="I1" s="16"/>
      <c r="K1" s="16"/>
      <c r="M1" s="16"/>
      <c r="O1" s="16"/>
      <c r="Q1" s="16"/>
    </row>
    <row r="2" spans="1:17" s="1" customFormat="1" ht="33.75" customHeight="1" x14ac:dyDescent="0.4">
      <c r="C2" s="16"/>
      <c r="E2" s="16"/>
      <c r="G2" s="16"/>
      <c r="I2" s="16"/>
      <c r="K2" s="16"/>
      <c r="M2" s="16"/>
      <c r="O2" s="16"/>
      <c r="Q2" s="16"/>
    </row>
    <row r="3" spans="1:17" s="1" customFormat="1" ht="40.5" customHeight="1" x14ac:dyDescent="0.4">
      <c r="C3" s="16"/>
      <c r="E3" s="16"/>
      <c r="G3" s="16"/>
      <c r="I3" s="16"/>
      <c r="K3" s="16"/>
      <c r="M3" s="16"/>
      <c r="O3" s="16"/>
      <c r="Q3" s="16"/>
    </row>
    <row r="4" spans="1:17" s="1" customFormat="1" ht="18.75" customHeight="1" x14ac:dyDescent="0.4">
      <c r="A4" s="159" t="s">
        <v>0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7" s="1" customFormat="1" ht="24" customHeight="1" x14ac:dyDescent="0.4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</row>
    <row r="6" spans="1:17" ht="18.75" customHeight="1" x14ac:dyDescent="0.45">
      <c r="A6" s="2" t="s">
        <v>16</v>
      </c>
      <c r="B6" s="3"/>
      <c r="C6" s="17"/>
      <c r="D6" s="3"/>
      <c r="E6" s="17"/>
      <c r="F6" s="3"/>
      <c r="G6" s="17"/>
      <c r="H6" s="3"/>
      <c r="I6" s="17"/>
      <c r="J6" s="3"/>
      <c r="K6" s="17"/>
      <c r="L6" s="3"/>
      <c r="M6" s="17"/>
      <c r="N6" s="3"/>
      <c r="O6" s="17"/>
      <c r="P6" s="3"/>
      <c r="Q6" s="17"/>
    </row>
    <row r="7" spans="1:17" ht="19.5" customHeight="1" x14ac:dyDescent="0.45">
      <c r="A7" s="2" t="s">
        <v>60</v>
      </c>
      <c r="B7" s="3"/>
      <c r="C7" s="17"/>
      <c r="D7" s="3"/>
      <c r="E7" s="17"/>
      <c r="F7" s="3"/>
      <c r="G7" s="17"/>
      <c r="H7" s="3"/>
      <c r="I7" s="17"/>
      <c r="J7" s="3"/>
      <c r="K7" s="17"/>
      <c r="L7" s="3"/>
      <c r="M7" s="17"/>
      <c r="N7" s="3"/>
      <c r="O7" s="17"/>
      <c r="P7" s="3"/>
      <c r="Q7" s="17"/>
    </row>
    <row r="8" spans="1:17" s="1" customFormat="1" ht="14" x14ac:dyDescent="0.4">
      <c r="C8" s="16"/>
      <c r="E8" s="16"/>
      <c r="G8" s="16"/>
      <c r="I8" s="16"/>
      <c r="K8" s="16"/>
      <c r="M8" s="16"/>
      <c r="O8" s="16"/>
      <c r="Q8" s="16"/>
    </row>
    <row r="9" spans="1:17" x14ac:dyDescent="0.45">
      <c r="A9" s="162" t="s">
        <v>1</v>
      </c>
      <c r="B9" s="161" t="s">
        <v>2</v>
      </c>
      <c r="C9" s="161"/>
      <c r="D9" s="161" t="s">
        <v>3</v>
      </c>
      <c r="E9" s="161"/>
      <c r="F9" s="161" t="s">
        <v>4</v>
      </c>
      <c r="G9" s="161"/>
      <c r="H9" s="160" t="s">
        <v>5</v>
      </c>
      <c r="I9" s="160"/>
      <c r="J9" s="161" t="s">
        <v>6</v>
      </c>
      <c r="K9" s="161"/>
      <c r="L9" s="161" t="s">
        <v>7</v>
      </c>
      <c r="M9" s="161"/>
      <c r="N9" s="161" t="s">
        <v>8</v>
      </c>
      <c r="O9" s="161"/>
      <c r="P9" s="161" t="s">
        <v>9</v>
      </c>
      <c r="Q9" s="161"/>
    </row>
    <row r="10" spans="1:17" x14ac:dyDescent="0.45">
      <c r="A10" s="163"/>
      <c r="B10" s="5" t="s">
        <v>10</v>
      </c>
      <c r="C10" s="20" t="s">
        <v>11</v>
      </c>
      <c r="D10" s="5" t="s">
        <v>10</v>
      </c>
      <c r="E10" s="20" t="s">
        <v>11</v>
      </c>
      <c r="F10" s="5" t="s">
        <v>10</v>
      </c>
      <c r="G10" s="20" t="s">
        <v>11</v>
      </c>
      <c r="H10" s="5" t="s">
        <v>10</v>
      </c>
      <c r="I10" s="20" t="s">
        <v>11</v>
      </c>
      <c r="J10" s="5" t="s">
        <v>10</v>
      </c>
      <c r="K10" s="20" t="s">
        <v>11</v>
      </c>
      <c r="L10" s="5" t="s">
        <v>10</v>
      </c>
      <c r="M10" s="20" t="s">
        <v>11</v>
      </c>
      <c r="N10" s="5" t="s">
        <v>10</v>
      </c>
      <c r="O10" s="20" t="s">
        <v>11</v>
      </c>
      <c r="P10" s="5" t="s">
        <v>10</v>
      </c>
      <c r="Q10" s="20" t="s">
        <v>11</v>
      </c>
    </row>
    <row r="11" spans="1:17" s="101" customFormat="1" ht="12" customHeight="1" x14ac:dyDescent="0.4">
      <c r="A11" s="121" t="s">
        <v>17</v>
      </c>
      <c r="B11" s="121"/>
      <c r="C11" s="122"/>
      <c r="D11" s="121"/>
      <c r="E11" s="122"/>
      <c r="F11" s="121"/>
      <c r="G11" s="122"/>
      <c r="H11" s="121"/>
      <c r="I11" s="122"/>
      <c r="J11" s="121"/>
      <c r="K11" s="122"/>
      <c r="L11" s="121"/>
      <c r="M11" s="122"/>
      <c r="N11" s="121"/>
      <c r="O11" s="122"/>
      <c r="P11" s="121"/>
      <c r="Q11" s="122"/>
    </row>
    <row r="12" spans="1:17" s="101" customFormat="1" ht="12" customHeight="1" x14ac:dyDescent="0.4">
      <c r="A12" s="21" t="s">
        <v>18</v>
      </c>
      <c r="B12" s="23">
        <v>1120</v>
      </c>
      <c r="C12" s="83">
        <v>6.67</v>
      </c>
      <c r="D12" s="22">
        <v>2304</v>
      </c>
      <c r="E12" s="84">
        <v>29.51</v>
      </c>
      <c r="F12" s="22">
        <v>1301</v>
      </c>
      <c r="G12" s="84">
        <v>6.12</v>
      </c>
      <c r="H12" s="27" t="s">
        <v>63</v>
      </c>
      <c r="I12" s="115" t="s">
        <v>64</v>
      </c>
      <c r="J12" s="22">
        <v>1133</v>
      </c>
      <c r="K12" s="84">
        <v>9.89</v>
      </c>
      <c r="L12" s="22">
        <v>1441</v>
      </c>
      <c r="M12" s="84">
        <v>-2.31</v>
      </c>
      <c r="N12" s="22">
        <v>1012</v>
      </c>
      <c r="O12" s="84">
        <v>18.36</v>
      </c>
      <c r="P12" s="23">
        <v>1679</v>
      </c>
      <c r="Q12" s="85">
        <v>3.83</v>
      </c>
    </row>
    <row r="13" spans="1:17" s="101" customFormat="1" ht="12" customHeight="1" x14ac:dyDescent="0.4">
      <c r="A13" s="24" t="s">
        <v>19</v>
      </c>
      <c r="B13" s="25">
        <v>9951</v>
      </c>
      <c r="C13" s="86">
        <v>0.05</v>
      </c>
      <c r="D13" s="25">
        <v>3727</v>
      </c>
      <c r="E13" s="87">
        <v>-24.48</v>
      </c>
      <c r="F13" s="25">
        <v>3673</v>
      </c>
      <c r="G13" s="87">
        <v>-42.76</v>
      </c>
      <c r="H13" s="29" t="s">
        <v>63</v>
      </c>
      <c r="I13" s="116" t="s">
        <v>64</v>
      </c>
      <c r="J13" s="25">
        <v>2844</v>
      </c>
      <c r="K13" s="86">
        <v>-41.04</v>
      </c>
      <c r="L13" s="25">
        <v>6336</v>
      </c>
      <c r="M13" s="87">
        <v>-11.88</v>
      </c>
      <c r="N13" s="25">
        <v>2759</v>
      </c>
      <c r="O13" s="87">
        <v>-27.07</v>
      </c>
      <c r="P13" s="26">
        <v>3991</v>
      </c>
      <c r="Q13" s="86">
        <v>-19.62</v>
      </c>
    </row>
    <row r="14" spans="1:17" s="101" customFormat="1" ht="12" customHeight="1" x14ac:dyDescent="0.4">
      <c r="A14" s="21" t="s">
        <v>20</v>
      </c>
      <c r="B14" s="105">
        <v>2496</v>
      </c>
      <c r="C14" s="106">
        <v>-31.71</v>
      </c>
      <c r="D14" s="22">
        <v>1927</v>
      </c>
      <c r="E14" s="84">
        <v>-35.53</v>
      </c>
      <c r="F14" s="22">
        <v>2587</v>
      </c>
      <c r="G14" s="84">
        <v>-23.46</v>
      </c>
      <c r="H14" s="22">
        <v>2387</v>
      </c>
      <c r="I14" s="84">
        <v>-34.869999999999997</v>
      </c>
      <c r="J14" s="105">
        <v>2269</v>
      </c>
      <c r="K14" s="106">
        <v>-39.96</v>
      </c>
      <c r="L14" s="22">
        <v>2133</v>
      </c>
      <c r="M14" s="84">
        <v>-32.200000000000003</v>
      </c>
      <c r="N14" s="22">
        <v>2178</v>
      </c>
      <c r="O14" s="84">
        <v>-36.700000000000003</v>
      </c>
      <c r="P14" s="22">
        <v>2233</v>
      </c>
      <c r="Q14" s="84">
        <v>-36.799999999999997</v>
      </c>
    </row>
    <row r="15" spans="1:17" s="101" customFormat="1" ht="12" customHeight="1" x14ac:dyDescent="0.4">
      <c r="A15" s="24" t="s">
        <v>21</v>
      </c>
      <c r="B15" s="25">
        <v>2518</v>
      </c>
      <c r="C15" s="87">
        <v>-1.25</v>
      </c>
      <c r="D15" s="25">
        <v>2449</v>
      </c>
      <c r="E15" s="87">
        <v>-29.71</v>
      </c>
      <c r="F15" s="25">
        <v>2015</v>
      </c>
      <c r="G15" s="87">
        <v>13.91</v>
      </c>
      <c r="H15" s="26">
        <v>2967</v>
      </c>
      <c r="I15" s="37">
        <v>-1.4</v>
      </c>
      <c r="J15" s="25">
        <v>2037</v>
      </c>
      <c r="K15" s="87">
        <v>-22.69</v>
      </c>
      <c r="L15" s="25">
        <v>1969</v>
      </c>
      <c r="M15" s="87">
        <v>-6.86</v>
      </c>
      <c r="N15" s="25">
        <v>1597</v>
      </c>
      <c r="O15" s="87">
        <v>-17.13</v>
      </c>
      <c r="P15" s="26">
        <v>2368</v>
      </c>
      <c r="Q15" s="86">
        <v>-1.58</v>
      </c>
    </row>
    <row r="16" spans="1:17" s="101" customFormat="1" ht="12" customHeight="1" x14ac:dyDescent="0.4">
      <c r="A16" s="21" t="s">
        <v>22</v>
      </c>
      <c r="B16" s="27" t="s">
        <v>63</v>
      </c>
      <c r="C16" s="115" t="s">
        <v>64</v>
      </c>
      <c r="D16" s="22">
        <v>1327</v>
      </c>
      <c r="E16" s="84">
        <v>-7.07</v>
      </c>
      <c r="F16" s="22">
        <v>1193</v>
      </c>
      <c r="G16" s="84">
        <v>-6.14</v>
      </c>
      <c r="H16" s="22">
        <v>1175</v>
      </c>
      <c r="I16" s="84">
        <v>7.31</v>
      </c>
      <c r="J16" s="22">
        <v>2063</v>
      </c>
      <c r="K16" s="84">
        <v>3</v>
      </c>
      <c r="L16" s="22">
        <v>1443</v>
      </c>
      <c r="M16" s="84">
        <v>14.71</v>
      </c>
      <c r="N16" s="22">
        <v>1458</v>
      </c>
      <c r="O16" s="84">
        <v>0.83</v>
      </c>
      <c r="P16" s="27" t="s">
        <v>63</v>
      </c>
      <c r="Q16" s="115" t="s">
        <v>64</v>
      </c>
    </row>
    <row r="17" spans="1:17" s="101" customFormat="1" ht="12" customHeight="1" x14ac:dyDescent="0.4">
      <c r="A17" s="24" t="s">
        <v>23</v>
      </c>
      <c r="B17" s="25">
        <v>5442</v>
      </c>
      <c r="C17" s="87">
        <v>24.19</v>
      </c>
      <c r="D17" s="25">
        <v>4206</v>
      </c>
      <c r="E17" s="87">
        <v>19.79</v>
      </c>
      <c r="F17" s="25">
        <v>5254</v>
      </c>
      <c r="G17" s="87">
        <v>52.95</v>
      </c>
      <c r="H17" s="26">
        <v>5369</v>
      </c>
      <c r="I17" s="86">
        <v>20.079999999999998</v>
      </c>
      <c r="J17" s="25">
        <v>4723</v>
      </c>
      <c r="K17" s="87">
        <v>-3.02</v>
      </c>
      <c r="L17" s="25">
        <v>4310</v>
      </c>
      <c r="M17" s="87">
        <v>17.920000000000002</v>
      </c>
      <c r="N17" s="25">
        <v>2525</v>
      </c>
      <c r="O17" s="87">
        <v>8.56</v>
      </c>
      <c r="P17" s="26">
        <v>4575</v>
      </c>
      <c r="Q17" s="86">
        <v>16.920000000000002</v>
      </c>
    </row>
    <row r="18" spans="1:17" s="101" customFormat="1" ht="12" customHeight="1" x14ac:dyDescent="0.4">
      <c r="A18" s="21" t="s">
        <v>24</v>
      </c>
      <c r="B18" s="105">
        <v>1981</v>
      </c>
      <c r="C18" s="106">
        <v>14.05</v>
      </c>
      <c r="D18" s="22">
        <v>1556</v>
      </c>
      <c r="E18" s="84">
        <v>4.78</v>
      </c>
      <c r="F18" s="22">
        <v>1304</v>
      </c>
      <c r="G18" s="84">
        <v>-10.130000000000001</v>
      </c>
      <c r="H18" s="22">
        <v>1935</v>
      </c>
      <c r="I18" s="84">
        <v>15.8</v>
      </c>
      <c r="J18" s="105">
        <v>918</v>
      </c>
      <c r="K18" s="106">
        <v>-5.36</v>
      </c>
      <c r="L18" s="22">
        <v>1291</v>
      </c>
      <c r="M18" s="84">
        <v>-2.4900000000000002</v>
      </c>
      <c r="N18" s="22">
        <v>923</v>
      </c>
      <c r="O18" s="84">
        <v>9.49</v>
      </c>
      <c r="P18" s="22">
        <v>1806</v>
      </c>
      <c r="Q18" s="84">
        <v>3.38</v>
      </c>
    </row>
    <row r="19" spans="1:17" s="101" customFormat="1" ht="12" customHeight="1" x14ac:dyDescent="0.4">
      <c r="A19" s="24" t="s">
        <v>25</v>
      </c>
      <c r="B19" s="25">
        <v>1812</v>
      </c>
      <c r="C19" s="87">
        <v>15.56</v>
      </c>
      <c r="D19" s="25">
        <v>2897</v>
      </c>
      <c r="E19" s="87">
        <v>10.19</v>
      </c>
      <c r="F19" s="25">
        <v>1664</v>
      </c>
      <c r="G19" s="87">
        <v>19.63</v>
      </c>
      <c r="H19" s="26">
        <v>1990</v>
      </c>
      <c r="I19" s="86">
        <v>12.62</v>
      </c>
      <c r="J19" s="25">
        <v>2032</v>
      </c>
      <c r="K19" s="87">
        <v>4.9000000000000004</v>
      </c>
      <c r="L19" s="25">
        <v>1773</v>
      </c>
      <c r="M19" s="87">
        <v>14.68</v>
      </c>
      <c r="N19" s="25">
        <v>2328</v>
      </c>
      <c r="O19" s="87">
        <v>48.66</v>
      </c>
      <c r="P19" s="26">
        <v>2463</v>
      </c>
      <c r="Q19" s="86">
        <v>17.96</v>
      </c>
    </row>
    <row r="20" spans="1:17" s="101" customFormat="1" ht="12" customHeight="1" x14ac:dyDescent="0.4">
      <c r="A20" s="21" t="s">
        <v>26</v>
      </c>
      <c r="B20" s="22">
        <v>3340</v>
      </c>
      <c r="C20" s="84">
        <v>32.020000000000003</v>
      </c>
      <c r="D20" s="22">
        <v>3735</v>
      </c>
      <c r="E20" s="84">
        <v>30.78</v>
      </c>
      <c r="F20" s="22">
        <v>5034</v>
      </c>
      <c r="G20" s="84">
        <v>64.459999999999994</v>
      </c>
      <c r="H20" s="22">
        <v>4655</v>
      </c>
      <c r="I20" s="84">
        <v>55.48</v>
      </c>
      <c r="J20" s="22">
        <v>3179</v>
      </c>
      <c r="K20" s="84">
        <v>52.03</v>
      </c>
      <c r="L20" s="22">
        <v>3664</v>
      </c>
      <c r="M20" s="84">
        <v>41.25</v>
      </c>
      <c r="N20" s="22">
        <v>3031</v>
      </c>
      <c r="O20" s="84">
        <v>105.49</v>
      </c>
      <c r="P20" s="22">
        <v>3130</v>
      </c>
      <c r="Q20" s="84">
        <v>29.71</v>
      </c>
    </row>
    <row r="21" spans="1:17" s="101" customFormat="1" ht="12" customHeight="1" x14ac:dyDescent="0.4">
      <c r="A21" s="24" t="s">
        <v>27</v>
      </c>
      <c r="B21" s="25">
        <v>1415</v>
      </c>
      <c r="C21" s="87">
        <v>28.29</v>
      </c>
      <c r="D21" s="25">
        <v>983</v>
      </c>
      <c r="E21" s="87">
        <v>60.36</v>
      </c>
      <c r="F21" s="25">
        <v>914</v>
      </c>
      <c r="G21" s="87">
        <v>-19.61</v>
      </c>
      <c r="H21" s="26">
        <v>1492</v>
      </c>
      <c r="I21" s="86">
        <v>30.76</v>
      </c>
      <c r="J21" s="25">
        <v>1314</v>
      </c>
      <c r="K21" s="87">
        <v>34.770000000000003</v>
      </c>
      <c r="L21" s="25">
        <v>913</v>
      </c>
      <c r="M21" s="87">
        <v>-15.85</v>
      </c>
      <c r="N21" s="25">
        <v>1025</v>
      </c>
      <c r="O21" s="87">
        <v>40.799999999999997</v>
      </c>
      <c r="P21" s="26">
        <v>1487</v>
      </c>
      <c r="Q21" s="86">
        <v>33.01</v>
      </c>
    </row>
    <row r="22" spans="1:17" s="101" customFormat="1" ht="12" customHeight="1" x14ac:dyDescent="0.4">
      <c r="A22" s="21" t="s">
        <v>28</v>
      </c>
      <c r="B22" s="22">
        <v>4154</v>
      </c>
      <c r="C22" s="84">
        <v>-10.9</v>
      </c>
      <c r="D22" s="22">
        <v>3963</v>
      </c>
      <c r="E22" s="84">
        <v>-27.36</v>
      </c>
      <c r="F22" s="22">
        <v>4533</v>
      </c>
      <c r="G22" s="84">
        <v>-9.07</v>
      </c>
      <c r="H22" s="27" t="s">
        <v>63</v>
      </c>
      <c r="I22" s="115" t="s">
        <v>64</v>
      </c>
      <c r="J22" s="22">
        <v>4096</v>
      </c>
      <c r="K22" s="84">
        <v>-13.42</v>
      </c>
      <c r="L22" s="22">
        <v>4332</v>
      </c>
      <c r="M22" s="84">
        <v>-14.76</v>
      </c>
      <c r="N22" s="22">
        <v>4471</v>
      </c>
      <c r="O22" s="84">
        <v>8.49</v>
      </c>
      <c r="P22" s="23">
        <v>4489</v>
      </c>
      <c r="Q22" s="85">
        <v>-9.31</v>
      </c>
    </row>
    <row r="23" spans="1:17" s="101" customFormat="1" ht="12" customHeight="1" x14ac:dyDescent="0.4">
      <c r="A23" s="30" t="s">
        <v>29</v>
      </c>
      <c r="B23" s="96">
        <v>1748</v>
      </c>
      <c r="C23" s="109">
        <v>-1.96</v>
      </c>
      <c r="D23" s="31">
        <v>1463</v>
      </c>
      <c r="E23" s="88">
        <v>-16.399999999999999</v>
      </c>
      <c r="F23" s="31">
        <v>1535</v>
      </c>
      <c r="G23" s="88">
        <v>-0.78</v>
      </c>
      <c r="H23" s="31">
        <v>1551</v>
      </c>
      <c r="I23" s="88">
        <v>-5.6</v>
      </c>
      <c r="J23" s="31">
        <v>1421</v>
      </c>
      <c r="K23" s="88">
        <v>-4.57</v>
      </c>
      <c r="L23" s="31">
        <v>1447</v>
      </c>
      <c r="M23" s="88">
        <v>19.78</v>
      </c>
      <c r="N23" s="31">
        <v>456</v>
      </c>
      <c r="O23" s="88">
        <v>12.04</v>
      </c>
      <c r="P23" s="31">
        <v>1464</v>
      </c>
      <c r="Q23" s="88">
        <v>-0.68</v>
      </c>
    </row>
    <row r="24" spans="1:17" s="144" customFormat="1" ht="11.5" x14ac:dyDescent="0.3">
      <c r="A24" s="123" t="s">
        <v>30</v>
      </c>
      <c r="B24" s="124"/>
      <c r="C24" s="125"/>
      <c r="D24" s="124"/>
      <c r="E24" s="125"/>
      <c r="F24" s="124"/>
      <c r="G24" s="125"/>
      <c r="H24" s="124"/>
      <c r="I24" s="125"/>
      <c r="J24" s="124"/>
      <c r="K24" s="125"/>
      <c r="L24" s="124"/>
      <c r="M24" s="125"/>
      <c r="N24" s="124"/>
      <c r="O24" s="125"/>
      <c r="P24" s="124"/>
      <c r="Q24" s="125"/>
    </row>
    <row r="25" spans="1:17" s="101" customFormat="1" ht="12" customHeight="1" x14ac:dyDescent="0.4">
      <c r="A25" s="24" t="s">
        <v>48</v>
      </c>
      <c r="B25" s="110" t="s">
        <v>63</v>
      </c>
      <c r="C25" s="116" t="s">
        <v>64</v>
      </c>
      <c r="D25" s="25">
        <v>9097</v>
      </c>
      <c r="E25" s="87">
        <v>19.37</v>
      </c>
      <c r="F25" s="25">
        <v>7969</v>
      </c>
      <c r="G25" s="37">
        <v>18.55</v>
      </c>
      <c r="H25" s="29" t="s">
        <v>63</v>
      </c>
      <c r="I25" s="116" t="s">
        <v>64</v>
      </c>
      <c r="J25" s="28">
        <v>8334</v>
      </c>
      <c r="K25" s="86">
        <v>15.24</v>
      </c>
      <c r="L25" s="25" t="s">
        <v>63</v>
      </c>
      <c r="M25" s="37" t="s">
        <v>64</v>
      </c>
      <c r="N25" s="25">
        <v>8797</v>
      </c>
      <c r="O25" s="87">
        <v>33.130000000000003</v>
      </c>
      <c r="P25" s="26">
        <v>7583</v>
      </c>
      <c r="Q25" s="86">
        <v>24.35</v>
      </c>
    </row>
    <row r="26" spans="1:17" s="101" customFormat="1" ht="12" customHeight="1" x14ac:dyDescent="0.4">
      <c r="A26" s="21" t="s">
        <v>31</v>
      </c>
      <c r="B26" s="22">
        <v>1092</v>
      </c>
      <c r="C26" s="84">
        <v>-2.5</v>
      </c>
      <c r="D26" s="22">
        <v>2285</v>
      </c>
      <c r="E26" s="84">
        <v>0.44</v>
      </c>
      <c r="F26" s="22">
        <v>2033</v>
      </c>
      <c r="G26" s="84">
        <v>8.08</v>
      </c>
      <c r="H26" s="27" t="s">
        <v>63</v>
      </c>
      <c r="I26" s="115" t="s">
        <v>64</v>
      </c>
      <c r="J26" s="22">
        <v>1659</v>
      </c>
      <c r="K26" s="84">
        <v>-0.36</v>
      </c>
      <c r="L26" s="22">
        <v>1973</v>
      </c>
      <c r="M26" s="84">
        <v>-0.4</v>
      </c>
      <c r="N26" s="22">
        <v>1656</v>
      </c>
      <c r="O26" s="84">
        <v>0.36</v>
      </c>
      <c r="P26" s="23">
        <v>1514</v>
      </c>
      <c r="Q26" s="85">
        <v>3.2</v>
      </c>
    </row>
    <row r="27" spans="1:17" s="101" customFormat="1" ht="12" customHeight="1" x14ac:dyDescent="0.4">
      <c r="A27" s="24" t="s">
        <v>32</v>
      </c>
      <c r="B27" s="25">
        <v>5069</v>
      </c>
      <c r="C27" s="87">
        <v>13.88</v>
      </c>
      <c r="D27" s="25">
        <v>6583</v>
      </c>
      <c r="E27" s="87">
        <v>0.64</v>
      </c>
      <c r="F27" s="29" t="s">
        <v>63</v>
      </c>
      <c r="G27" s="116" t="s">
        <v>64</v>
      </c>
      <c r="H27" s="25">
        <v>5641</v>
      </c>
      <c r="I27" s="87">
        <v>5.01</v>
      </c>
      <c r="J27" s="25">
        <v>4319</v>
      </c>
      <c r="K27" s="87">
        <v>2.93</v>
      </c>
      <c r="L27" s="29" t="s">
        <v>63</v>
      </c>
      <c r="M27" s="116" t="s">
        <v>64</v>
      </c>
      <c r="N27" s="26">
        <v>8441</v>
      </c>
      <c r="O27" s="87">
        <v>5.43</v>
      </c>
      <c r="P27" s="25">
        <v>5833</v>
      </c>
      <c r="Q27" s="87">
        <v>21.72</v>
      </c>
    </row>
    <row r="28" spans="1:17" s="101" customFormat="1" ht="12" customHeight="1" x14ac:dyDescent="0.4">
      <c r="A28" s="21" t="s">
        <v>33</v>
      </c>
      <c r="B28" s="27" t="s">
        <v>63</v>
      </c>
      <c r="C28" s="115" t="s">
        <v>64</v>
      </c>
      <c r="D28" s="22">
        <v>5493</v>
      </c>
      <c r="E28" s="84">
        <v>-3.45</v>
      </c>
      <c r="F28" s="22">
        <v>7088</v>
      </c>
      <c r="G28" s="84">
        <v>-5.66</v>
      </c>
      <c r="H28" s="27" t="s">
        <v>63</v>
      </c>
      <c r="I28" s="115" t="s">
        <v>64</v>
      </c>
      <c r="J28" s="23">
        <v>5452</v>
      </c>
      <c r="K28" s="83">
        <v>-13.91</v>
      </c>
      <c r="L28" s="23">
        <v>6961</v>
      </c>
      <c r="M28" s="85">
        <v>1.44</v>
      </c>
      <c r="N28" s="22">
        <v>6215</v>
      </c>
      <c r="O28" s="84">
        <v>3.62</v>
      </c>
      <c r="P28" s="23">
        <v>6519</v>
      </c>
      <c r="Q28" s="85">
        <v>-2.5299999999999998</v>
      </c>
    </row>
    <row r="29" spans="1:17" s="101" customFormat="1" ht="12" customHeight="1" x14ac:dyDescent="0.4">
      <c r="A29" s="24" t="s">
        <v>34</v>
      </c>
      <c r="B29" s="25">
        <v>3582</v>
      </c>
      <c r="C29" s="87">
        <v>4.0999999999999996</v>
      </c>
      <c r="D29" s="25">
        <v>1833</v>
      </c>
      <c r="E29" s="87">
        <v>-4.18</v>
      </c>
      <c r="F29" s="25">
        <v>1286</v>
      </c>
      <c r="G29" s="87">
        <v>-13.86</v>
      </c>
      <c r="H29" s="25">
        <v>3537</v>
      </c>
      <c r="I29" s="87">
        <v>13.04</v>
      </c>
      <c r="J29" s="25">
        <v>2502</v>
      </c>
      <c r="K29" s="87">
        <v>6.79</v>
      </c>
      <c r="L29" s="25">
        <v>1795</v>
      </c>
      <c r="M29" s="87">
        <v>2.63</v>
      </c>
      <c r="N29" s="25">
        <v>2195</v>
      </c>
      <c r="O29" s="87">
        <v>12.91</v>
      </c>
      <c r="P29" s="25">
        <v>2370</v>
      </c>
      <c r="Q29" s="87">
        <v>2.86</v>
      </c>
    </row>
    <row r="30" spans="1:17" s="101" customFormat="1" ht="12" customHeight="1" x14ac:dyDescent="0.4">
      <c r="A30" s="21" t="s">
        <v>55</v>
      </c>
      <c r="B30" s="22">
        <v>4191</v>
      </c>
      <c r="C30" s="84">
        <v>36.200000000000003</v>
      </c>
      <c r="D30" s="22">
        <v>4161</v>
      </c>
      <c r="E30" s="84">
        <v>2.97</v>
      </c>
      <c r="F30" s="22">
        <v>3294</v>
      </c>
      <c r="G30" s="84">
        <v>16.309999999999999</v>
      </c>
      <c r="H30" s="23">
        <v>4513</v>
      </c>
      <c r="I30" s="85">
        <v>29.46</v>
      </c>
      <c r="J30" s="22">
        <v>3444</v>
      </c>
      <c r="K30" s="85">
        <v>3.67</v>
      </c>
      <c r="L30" s="22">
        <v>2946</v>
      </c>
      <c r="M30" s="84">
        <v>12.53</v>
      </c>
      <c r="N30" s="22">
        <v>4130</v>
      </c>
      <c r="O30" s="84">
        <v>16.399999999999999</v>
      </c>
      <c r="P30" s="23">
        <v>3554</v>
      </c>
      <c r="Q30" s="85">
        <v>20.64</v>
      </c>
    </row>
    <row r="31" spans="1:17" s="101" customFormat="1" ht="12" customHeight="1" x14ac:dyDescent="0.4">
      <c r="A31" s="24" t="s">
        <v>35</v>
      </c>
      <c r="B31" s="26">
        <v>5162</v>
      </c>
      <c r="C31" s="86">
        <v>16.440000000000001</v>
      </c>
      <c r="D31" s="25">
        <v>4331</v>
      </c>
      <c r="E31" s="87">
        <v>12.61</v>
      </c>
      <c r="F31" s="25">
        <v>4288</v>
      </c>
      <c r="G31" s="87">
        <v>24.72</v>
      </c>
      <c r="H31" s="26">
        <v>5252</v>
      </c>
      <c r="I31" s="86">
        <v>13.98</v>
      </c>
      <c r="J31" s="26">
        <v>3871</v>
      </c>
      <c r="K31" s="86">
        <v>8.0399999999999991</v>
      </c>
      <c r="L31" s="25">
        <v>5022</v>
      </c>
      <c r="M31" s="87">
        <v>7.45</v>
      </c>
      <c r="N31" s="25">
        <v>3806</v>
      </c>
      <c r="O31" s="87">
        <v>21.4</v>
      </c>
      <c r="P31" s="26">
        <v>3937</v>
      </c>
      <c r="Q31" s="86">
        <v>7.25</v>
      </c>
    </row>
    <row r="32" spans="1:17" s="101" customFormat="1" ht="12" customHeight="1" x14ac:dyDescent="0.4">
      <c r="A32" s="21" t="s">
        <v>36</v>
      </c>
      <c r="B32" s="22">
        <v>2719</v>
      </c>
      <c r="C32" s="84">
        <v>1.08</v>
      </c>
      <c r="D32" s="22">
        <v>3269</v>
      </c>
      <c r="E32" s="84">
        <v>-31</v>
      </c>
      <c r="F32" s="22">
        <v>1886</v>
      </c>
      <c r="G32" s="84">
        <v>-9.93</v>
      </c>
      <c r="H32" s="23">
        <v>2679</v>
      </c>
      <c r="I32" s="165">
        <v>-5.34</v>
      </c>
      <c r="J32" s="22">
        <v>2920</v>
      </c>
      <c r="K32" s="84">
        <v>14.33</v>
      </c>
      <c r="L32" s="22">
        <v>2580</v>
      </c>
      <c r="M32" s="84">
        <v>-13.8</v>
      </c>
      <c r="N32" s="22">
        <v>2150</v>
      </c>
      <c r="O32" s="84">
        <v>-20.07</v>
      </c>
      <c r="P32" s="23">
        <v>2056</v>
      </c>
      <c r="Q32" s="85">
        <v>-0.72</v>
      </c>
    </row>
    <row r="33" spans="1:17" s="101" customFormat="1" ht="12" customHeight="1" x14ac:dyDescent="0.4">
      <c r="A33" s="24" t="s">
        <v>37</v>
      </c>
      <c r="B33" s="25">
        <v>7583</v>
      </c>
      <c r="C33" s="87">
        <v>0</v>
      </c>
      <c r="D33" s="25">
        <v>8139</v>
      </c>
      <c r="E33" s="102">
        <v>5.51</v>
      </c>
      <c r="F33" s="25">
        <v>8542</v>
      </c>
      <c r="G33" s="86">
        <v>9.58</v>
      </c>
      <c r="H33" s="29" t="s">
        <v>63</v>
      </c>
      <c r="I33" s="116" t="s">
        <v>64</v>
      </c>
      <c r="J33" s="25">
        <v>7978</v>
      </c>
      <c r="K33" s="87">
        <v>-2.7</v>
      </c>
      <c r="L33" s="25" t="s">
        <v>63</v>
      </c>
      <c r="M33" s="166" t="s">
        <v>64</v>
      </c>
      <c r="N33" s="25">
        <v>7378</v>
      </c>
      <c r="O33" s="86">
        <v>-2.73</v>
      </c>
      <c r="P33" s="26">
        <v>7437</v>
      </c>
      <c r="Q33" s="87">
        <v>-6.36</v>
      </c>
    </row>
    <row r="34" spans="1:17" s="101" customFormat="1" ht="12" customHeight="1" x14ac:dyDescent="0.4">
      <c r="A34" s="21" t="s">
        <v>51</v>
      </c>
      <c r="B34" s="79" t="s">
        <v>63</v>
      </c>
      <c r="C34" s="115" t="s">
        <v>64</v>
      </c>
      <c r="D34" s="22">
        <v>12228</v>
      </c>
      <c r="E34" s="84">
        <v>-1.51</v>
      </c>
      <c r="F34" s="22">
        <v>11319</v>
      </c>
      <c r="G34" s="84">
        <v>-0.88</v>
      </c>
      <c r="H34" s="23">
        <v>10985</v>
      </c>
      <c r="I34" s="83">
        <v>3.16</v>
      </c>
      <c r="J34" s="23">
        <v>11654</v>
      </c>
      <c r="K34" s="85">
        <v>-2.02</v>
      </c>
      <c r="L34" s="22">
        <v>11118</v>
      </c>
      <c r="M34" s="84">
        <v>-2.14</v>
      </c>
      <c r="N34" s="22">
        <v>11445</v>
      </c>
      <c r="O34" s="84">
        <v>2.96</v>
      </c>
      <c r="P34" s="23">
        <v>11623</v>
      </c>
      <c r="Q34" s="85">
        <v>0.56000000000000005</v>
      </c>
    </row>
    <row r="35" spans="1:17" s="101" customFormat="1" ht="12" customHeight="1" x14ac:dyDescent="0.4">
      <c r="A35" s="24" t="s">
        <v>38</v>
      </c>
      <c r="B35" s="26">
        <v>3487</v>
      </c>
      <c r="C35" s="37">
        <v>-19.559999999999999</v>
      </c>
      <c r="D35" s="25">
        <v>4168</v>
      </c>
      <c r="E35" s="87">
        <v>17.14</v>
      </c>
      <c r="F35" s="25">
        <v>3881</v>
      </c>
      <c r="G35" s="87">
        <v>10.7</v>
      </c>
      <c r="H35" s="29" t="s">
        <v>63</v>
      </c>
      <c r="I35" s="116" t="s">
        <v>64</v>
      </c>
      <c r="J35" s="25">
        <v>3678</v>
      </c>
      <c r="K35" s="87">
        <v>-11.52</v>
      </c>
      <c r="L35" s="25">
        <v>3515</v>
      </c>
      <c r="M35" s="87">
        <v>1.44</v>
      </c>
      <c r="N35" s="25">
        <v>2598</v>
      </c>
      <c r="O35" s="87">
        <v>-23.72</v>
      </c>
      <c r="P35" s="26">
        <v>4019</v>
      </c>
      <c r="Q35" s="87">
        <v>-7.61</v>
      </c>
    </row>
    <row r="36" spans="1:17" s="101" customFormat="1" ht="12" customHeight="1" x14ac:dyDescent="0.4">
      <c r="A36" s="21" t="s">
        <v>65</v>
      </c>
      <c r="B36" s="23" t="s">
        <v>63</v>
      </c>
      <c r="C36" s="83" t="s">
        <v>64</v>
      </c>
      <c r="D36" s="22">
        <v>2397</v>
      </c>
      <c r="E36" s="84">
        <v>-14.58</v>
      </c>
      <c r="F36" s="22">
        <v>2688</v>
      </c>
      <c r="G36" s="84">
        <v>-17.649999999999999</v>
      </c>
      <c r="H36" s="27" t="s">
        <v>63</v>
      </c>
      <c r="I36" s="115" t="s">
        <v>64</v>
      </c>
      <c r="J36" s="22">
        <v>2496</v>
      </c>
      <c r="K36" s="84">
        <v>-26.39</v>
      </c>
      <c r="L36" s="22">
        <v>3008</v>
      </c>
      <c r="M36" s="84">
        <v>-10.1</v>
      </c>
      <c r="N36" s="22">
        <v>3033</v>
      </c>
      <c r="O36" s="84">
        <v>-16.77</v>
      </c>
      <c r="P36" s="23">
        <v>2688</v>
      </c>
      <c r="Q36" s="84">
        <v>-23.74</v>
      </c>
    </row>
    <row r="37" spans="1:17" s="101" customFormat="1" ht="12" customHeight="1" x14ac:dyDescent="0.4">
      <c r="A37" s="24" t="s">
        <v>39</v>
      </c>
      <c r="B37" s="25">
        <v>5139</v>
      </c>
      <c r="C37" s="87">
        <v>-0.04</v>
      </c>
      <c r="D37" s="25">
        <v>4483</v>
      </c>
      <c r="E37" s="87">
        <v>-9.32</v>
      </c>
      <c r="F37" s="25">
        <v>3633</v>
      </c>
      <c r="G37" s="87">
        <v>0.25</v>
      </c>
      <c r="H37" s="26">
        <v>4360</v>
      </c>
      <c r="I37" s="86">
        <v>3.2</v>
      </c>
      <c r="J37" s="25">
        <v>4550</v>
      </c>
      <c r="K37" s="87">
        <v>8</v>
      </c>
      <c r="L37" s="25">
        <v>2893</v>
      </c>
      <c r="M37" s="87">
        <v>-4.62</v>
      </c>
      <c r="N37" s="25">
        <v>3947</v>
      </c>
      <c r="O37" s="87">
        <v>17.75</v>
      </c>
      <c r="P37" s="26">
        <v>5028</v>
      </c>
      <c r="Q37" s="86">
        <v>12.51</v>
      </c>
    </row>
    <row r="38" spans="1:17" s="101" customFormat="1" ht="12" customHeight="1" x14ac:dyDescent="0.4">
      <c r="A38" s="21" t="s">
        <v>66</v>
      </c>
      <c r="B38" s="145" t="s">
        <v>63</v>
      </c>
      <c r="C38" s="115" t="s">
        <v>64</v>
      </c>
      <c r="D38" s="22">
        <v>1492</v>
      </c>
      <c r="E38" s="84">
        <v>-5.09</v>
      </c>
      <c r="F38" s="22">
        <v>675</v>
      </c>
      <c r="G38" s="85">
        <v>-5.2</v>
      </c>
      <c r="H38" s="23">
        <v>1204</v>
      </c>
      <c r="I38" s="85">
        <v>-3.06</v>
      </c>
      <c r="J38" s="27" t="s">
        <v>63</v>
      </c>
      <c r="K38" s="115" t="s">
        <v>64</v>
      </c>
      <c r="L38" s="27" t="s">
        <v>63</v>
      </c>
      <c r="M38" s="115" t="s">
        <v>64</v>
      </c>
      <c r="N38" s="22">
        <v>1727</v>
      </c>
      <c r="O38" s="85">
        <v>-6.14</v>
      </c>
      <c r="P38" s="22">
        <v>1379</v>
      </c>
      <c r="Q38" s="106">
        <v>4.1500000000000004</v>
      </c>
    </row>
    <row r="39" spans="1:17" s="101" customFormat="1" ht="12" customHeight="1" x14ac:dyDescent="0.4">
      <c r="A39" s="24" t="s">
        <v>56</v>
      </c>
      <c r="B39" s="29" t="s">
        <v>63</v>
      </c>
      <c r="C39" s="116" t="s">
        <v>64</v>
      </c>
      <c r="D39" s="26">
        <v>1451</v>
      </c>
      <c r="E39" s="86">
        <v>-7.05</v>
      </c>
      <c r="F39" s="25">
        <v>1494</v>
      </c>
      <c r="G39" s="87">
        <v>-3.61</v>
      </c>
      <c r="H39" s="26">
        <v>1619</v>
      </c>
      <c r="I39" s="86">
        <v>-24.35</v>
      </c>
      <c r="J39" s="26">
        <v>1788</v>
      </c>
      <c r="K39" s="87">
        <v>-10.64</v>
      </c>
      <c r="L39" s="26">
        <v>2061</v>
      </c>
      <c r="M39" s="86">
        <v>-14.8</v>
      </c>
      <c r="N39" s="25">
        <v>2603</v>
      </c>
      <c r="O39" s="87">
        <v>-3.45</v>
      </c>
      <c r="P39" s="26">
        <v>1943</v>
      </c>
      <c r="Q39" s="86">
        <v>-10.99</v>
      </c>
    </row>
    <row r="40" spans="1:17" s="101" customFormat="1" ht="12" customHeight="1" x14ac:dyDescent="0.4">
      <c r="A40" s="21" t="s">
        <v>40</v>
      </c>
      <c r="B40" s="23">
        <v>3826</v>
      </c>
      <c r="C40" s="83">
        <v>13.94</v>
      </c>
      <c r="D40" s="23">
        <v>4250</v>
      </c>
      <c r="E40" s="85">
        <v>5.91</v>
      </c>
      <c r="F40" s="22">
        <v>4300</v>
      </c>
      <c r="G40" s="84">
        <v>12.04</v>
      </c>
      <c r="H40" s="23">
        <v>4235</v>
      </c>
      <c r="I40" s="85">
        <v>1.34</v>
      </c>
      <c r="J40" s="23">
        <v>3402</v>
      </c>
      <c r="K40" s="84">
        <v>-0.5</v>
      </c>
      <c r="L40" s="23">
        <v>2750</v>
      </c>
      <c r="M40" s="85">
        <v>7.8</v>
      </c>
      <c r="N40" s="22">
        <v>3944</v>
      </c>
      <c r="O40" s="84">
        <v>1.57</v>
      </c>
      <c r="P40" s="23">
        <v>4707</v>
      </c>
      <c r="Q40" s="85">
        <v>6.52</v>
      </c>
    </row>
    <row r="41" spans="1:17" s="101" customFormat="1" ht="12" customHeight="1" x14ac:dyDescent="0.4">
      <c r="A41" s="24" t="s">
        <v>41</v>
      </c>
      <c r="B41" s="25">
        <v>2462</v>
      </c>
      <c r="C41" s="87">
        <v>2.88</v>
      </c>
      <c r="D41" s="25">
        <v>2443</v>
      </c>
      <c r="E41" s="87">
        <v>-13.34</v>
      </c>
      <c r="F41" s="25">
        <v>2508</v>
      </c>
      <c r="G41" s="87">
        <v>1.66</v>
      </c>
      <c r="H41" s="26">
        <v>2551</v>
      </c>
      <c r="I41" s="89">
        <v>-2.93</v>
      </c>
      <c r="J41" s="25">
        <v>2396</v>
      </c>
      <c r="K41" s="87">
        <v>-2.3199999999999998</v>
      </c>
      <c r="L41" s="25">
        <v>3776</v>
      </c>
      <c r="M41" s="87">
        <v>-1.36</v>
      </c>
      <c r="N41" s="25">
        <v>2033</v>
      </c>
      <c r="O41" s="87">
        <v>-2.02</v>
      </c>
      <c r="P41" s="26">
        <v>2570</v>
      </c>
      <c r="Q41" s="89">
        <v>12.37</v>
      </c>
    </row>
    <row r="42" spans="1:17" s="101" customFormat="1" ht="12" customHeight="1" x14ac:dyDescent="0.4">
      <c r="A42" s="146" t="s">
        <v>67</v>
      </c>
      <c r="B42" s="147" t="s">
        <v>63</v>
      </c>
      <c r="C42" s="148" t="s">
        <v>64</v>
      </c>
      <c r="D42" s="147">
        <v>8142</v>
      </c>
      <c r="E42" s="149">
        <v>-7.8</v>
      </c>
      <c r="F42" s="147">
        <v>8752</v>
      </c>
      <c r="G42" s="149">
        <v>-4.71</v>
      </c>
      <c r="H42" s="150">
        <v>9629</v>
      </c>
      <c r="I42" s="151">
        <v>-6.23</v>
      </c>
      <c r="J42" s="147">
        <v>8679</v>
      </c>
      <c r="K42" s="149">
        <v>-8.91</v>
      </c>
      <c r="L42" s="147" t="s">
        <v>63</v>
      </c>
      <c r="M42" s="148" t="s">
        <v>64</v>
      </c>
      <c r="N42" s="147">
        <v>7737</v>
      </c>
      <c r="O42" s="149">
        <v>-9.85</v>
      </c>
      <c r="P42" s="150">
        <v>8179</v>
      </c>
      <c r="Q42" s="151">
        <v>-13.76</v>
      </c>
    </row>
    <row r="43" spans="1:17" s="101" customFormat="1" ht="12" customHeight="1" x14ac:dyDescent="0.4">
      <c r="A43" s="123" t="s">
        <v>42</v>
      </c>
      <c r="B43" s="124"/>
      <c r="C43" s="125"/>
      <c r="D43" s="124"/>
      <c r="E43" s="125"/>
      <c r="F43" s="124"/>
      <c r="G43" s="125"/>
      <c r="H43" s="124"/>
      <c r="I43" s="125"/>
      <c r="J43" s="124"/>
      <c r="K43" s="125"/>
      <c r="L43" s="124"/>
      <c r="M43" s="125"/>
      <c r="N43" s="124"/>
      <c r="O43" s="125"/>
      <c r="P43" s="124"/>
      <c r="Q43" s="125"/>
    </row>
    <row r="44" spans="1:17" s="101" customFormat="1" ht="12" customHeight="1" x14ac:dyDescent="0.4">
      <c r="A44" s="24" t="s">
        <v>43</v>
      </c>
      <c r="B44" s="29" t="s">
        <v>63</v>
      </c>
      <c r="C44" s="116" t="s">
        <v>64</v>
      </c>
      <c r="D44" s="25">
        <v>3351</v>
      </c>
      <c r="E44" s="87">
        <v>4.07</v>
      </c>
      <c r="F44" s="25">
        <v>3456</v>
      </c>
      <c r="G44" s="87">
        <v>-1.43</v>
      </c>
      <c r="H44" s="29" t="s">
        <v>63</v>
      </c>
      <c r="I44" s="116" t="s">
        <v>64</v>
      </c>
      <c r="J44" s="25">
        <v>3517</v>
      </c>
      <c r="K44" s="87">
        <v>2.2999999999999998</v>
      </c>
      <c r="L44" s="25">
        <v>4118</v>
      </c>
      <c r="M44" s="87">
        <v>3.62</v>
      </c>
      <c r="N44" s="25">
        <v>2334</v>
      </c>
      <c r="O44" s="87">
        <v>-21.36</v>
      </c>
      <c r="P44" s="26">
        <v>4370</v>
      </c>
      <c r="Q44" s="87">
        <v>2.82</v>
      </c>
    </row>
    <row r="45" spans="1:17" s="101" customFormat="1" ht="12" customHeight="1" x14ac:dyDescent="0.4">
      <c r="A45" s="21" t="s">
        <v>44</v>
      </c>
      <c r="B45" s="22">
        <v>1796</v>
      </c>
      <c r="C45" s="84">
        <v>33.729999999999997</v>
      </c>
      <c r="D45" s="22">
        <v>2254</v>
      </c>
      <c r="E45" s="84">
        <v>32.979999999999997</v>
      </c>
      <c r="F45" s="22">
        <v>2110</v>
      </c>
      <c r="G45" s="84">
        <v>33.29</v>
      </c>
      <c r="H45" s="23">
        <v>1904</v>
      </c>
      <c r="I45" s="85">
        <v>31.04</v>
      </c>
      <c r="J45" s="22">
        <v>2180</v>
      </c>
      <c r="K45" s="84">
        <v>45.33</v>
      </c>
      <c r="L45" s="23">
        <v>1541</v>
      </c>
      <c r="M45" s="83">
        <v>50.34</v>
      </c>
      <c r="N45" s="22">
        <v>2633</v>
      </c>
      <c r="O45" s="84">
        <v>52.2</v>
      </c>
      <c r="P45" s="23">
        <v>2340</v>
      </c>
      <c r="Q45" s="85">
        <v>54.66</v>
      </c>
    </row>
    <row r="46" spans="1:17" s="101" customFormat="1" ht="12" customHeight="1" x14ac:dyDescent="0.4">
      <c r="A46" s="24" t="s">
        <v>68</v>
      </c>
      <c r="B46" s="25">
        <v>3234</v>
      </c>
      <c r="C46" s="86">
        <v>-10.84</v>
      </c>
      <c r="D46" s="25">
        <v>3365</v>
      </c>
      <c r="E46" s="87">
        <v>-8.8800000000000008</v>
      </c>
      <c r="F46" s="25">
        <v>2875</v>
      </c>
      <c r="G46" s="87">
        <v>-0.35</v>
      </c>
      <c r="H46" s="25">
        <v>3491</v>
      </c>
      <c r="I46" s="87">
        <v>-12.68</v>
      </c>
      <c r="J46" s="25">
        <v>2742</v>
      </c>
      <c r="K46" s="87">
        <v>-7.68</v>
      </c>
      <c r="L46" s="25">
        <v>2881</v>
      </c>
      <c r="M46" s="87">
        <v>0.88</v>
      </c>
      <c r="N46" s="25">
        <v>2529</v>
      </c>
      <c r="O46" s="87">
        <v>-16.809999999999999</v>
      </c>
      <c r="P46" s="25">
        <v>2861</v>
      </c>
      <c r="Q46" s="87">
        <v>-11.51</v>
      </c>
    </row>
    <row r="47" spans="1:17" s="101" customFormat="1" ht="12" customHeight="1" x14ac:dyDescent="0.4">
      <c r="A47" s="21" t="s">
        <v>45</v>
      </c>
      <c r="B47" s="22">
        <v>3062</v>
      </c>
      <c r="C47" s="84">
        <v>-14.94</v>
      </c>
      <c r="D47" s="22">
        <v>2694</v>
      </c>
      <c r="E47" s="84">
        <v>-11.85</v>
      </c>
      <c r="F47" s="22">
        <v>3188</v>
      </c>
      <c r="G47" s="84">
        <v>4.18</v>
      </c>
      <c r="H47" s="23">
        <v>2236</v>
      </c>
      <c r="I47" s="85">
        <v>-28.59</v>
      </c>
      <c r="J47" s="22">
        <v>1990</v>
      </c>
      <c r="K47" s="84">
        <v>8.15</v>
      </c>
      <c r="L47" s="22">
        <v>3058</v>
      </c>
      <c r="M47" s="84">
        <v>-2.27</v>
      </c>
      <c r="N47" s="22">
        <v>2029</v>
      </c>
      <c r="O47" s="84">
        <v>4.6399999999999997</v>
      </c>
      <c r="P47" s="23">
        <v>1841</v>
      </c>
      <c r="Q47" s="85">
        <v>18.77</v>
      </c>
    </row>
    <row r="48" spans="1:17" s="101" customFormat="1" ht="12" customHeight="1" x14ac:dyDescent="0.4">
      <c r="A48" s="30" t="s">
        <v>46</v>
      </c>
      <c r="B48" s="31">
        <v>1490</v>
      </c>
      <c r="C48" s="88">
        <v>-0.4</v>
      </c>
      <c r="D48" s="31">
        <v>1872</v>
      </c>
      <c r="E48" s="88">
        <v>-3.41</v>
      </c>
      <c r="F48" s="31">
        <v>2347</v>
      </c>
      <c r="G48" s="88">
        <v>6.73</v>
      </c>
      <c r="H48" s="31">
        <v>1461</v>
      </c>
      <c r="I48" s="88">
        <v>-3.69</v>
      </c>
      <c r="J48" s="31">
        <v>1343</v>
      </c>
      <c r="K48" s="88">
        <v>-7.06</v>
      </c>
      <c r="L48" s="31">
        <v>2461</v>
      </c>
      <c r="M48" s="88">
        <v>-2.77</v>
      </c>
      <c r="N48" s="95" t="s">
        <v>63</v>
      </c>
      <c r="O48" s="117" t="s">
        <v>64</v>
      </c>
      <c r="P48" s="31">
        <v>1309</v>
      </c>
      <c r="Q48" s="88">
        <v>-4.8</v>
      </c>
    </row>
    <row r="49" spans="1:25" s="101" customFormat="1" ht="12" customHeight="1" x14ac:dyDescent="0.4">
      <c r="A49" s="123" t="s">
        <v>69</v>
      </c>
      <c r="B49" s="124"/>
      <c r="C49" s="125"/>
      <c r="D49" s="124"/>
      <c r="E49" s="125"/>
      <c r="F49" s="124"/>
      <c r="G49" s="125"/>
      <c r="H49" s="124"/>
      <c r="I49" s="125"/>
      <c r="J49" s="124"/>
      <c r="K49" s="125"/>
      <c r="L49" s="124"/>
      <c r="M49" s="125"/>
      <c r="N49" s="124"/>
      <c r="O49" s="125"/>
      <c r="P49" s="124"/>
      <c r="Q49" s="125"/>
    </row>
    <row r="50" spans="1:25" s="101" customFormat="1" ht="12" customHeight="1" x14ac:dyDescent="0.4">
      <c r="A50" s="15" t="s">
        <v>70</v>
      </c>
      <c r="B50" s="32">
        <v>3888</v>
      </c>
      <c r="C50" s="91">
        <v>-5.08</v>
      </c>
      <c r="D50" s="32">
        <v>3540</v>
      </c>
      <c r="E50" s="91">
        <v>-6.62</v>
      </c>
      <c r="F50" s="32">
        <v>4300</v>
      </c>
      <c r="G50" s="91">
        <v>0.23</v>
      </c>
      <c r="H50" s="32">
        <v>3931</v>
      </c>
      <c r="I50" s="91">
        <v>-1.58</v>
      </c>
      <c r="J50" s="32">
        <v>3856</v>
      </c>
      <c r="K50" s="91">
        <v>0.34</v>
      </c>
      <c r="L50" s="32">
        <v>3967</v>
      </c>
      <c r="M50" s="91">
        <v>1.3</v>
      </c>
      <c r="N50" s="32">
        <v>3968</v>
      </c>
      <c r="O50" s="91">
        <v>0.57999999999999996</v>
      </c>
      <c r="P50" s="32">
        <v>3963</v>
      </c>
      <c r="Q50" s="91">
        <v>-2.2000000000000002</v>
      </c>
    </row>
    <row r="51" spans="1:25" s="101" customFormat="1" ht="12" customHeight="1" x14ac:dyDescent="0.4">
      <c r="A51" s="33" t="s">
        <v>71</v>
      </c>
      <c r="B51" s="97" t="s">
        <v>63</v>
      </c>
      <c r="C51" s="118" t="s">
        <v>64</v>
      </c>
      <c r="D51" s="34">
        <v>5288</v>
      </c>
      <c r="E51" s="90">
        <v>-2.85</v>
      </c>
      <c r="F51" s="34">
        <v>4160</v>
      </c>
      <c r="G51" s="90">
        <v>-0.05</v>
      </c>
      <c r="H51" s="34">
        <v>4438</v>
      </c>
      <c r="I51" s="90">
        <v>-0.69</v>
      </c>
      <c r="J51" s="34">
        <v>4624</v>
      </c>
      <c r="K51" s="90">
        <v>-1.05</v>
      </c>
      <c r="L51" s="34">
        <v>4079</v>
      </c>
      <c r="M51" s="90">
        <v>1.98</v>
      </c>
      <c r="N51" s="34">
        <v>4017</v>
      </c>
      <c r="O51" s="90">
        <v>2.21</v>
      </c>
      <c r="P51" s="34">
        <v>3984</v>
      </c>
      <c r="Q51" s="90">
        <v>0</v>
      </c>
    </row>
    <row r="52" spans="1:25" s="101" customFormat="1" ht="12" customHeight="1" x14ac:dyDescent="0.4">
      <c r="A52" s="15" t="s">
        <v>72</v>
      </c>
      <c r="B52" s="32">
        <v>8168</v>
      </c>
      <c r="C52" s="91">
        <v>-13.18</v>
      </c>
      <c r="D52" s="32">
        <v>9813</v>
      </c>
      <c r="E52" s="91">
        <v>18.53</v>
      </c>
      <c r="F52" s="32">
        <v>7831</v>
      </c>
      <c r="G52" s="91">
        <v>0.06</v>
      </c>
      <c r="H52" s="32">
        <v>8531</v>
      </c>
      <c r="I52" s="91">
        <v>0</v>
      </c>
      <c r="J52" s="32">
        <v>8560</v>
      </c>
      <c r="K52" s="91">
        <v>-10.6</v>
      </c>
      <c r="L52" s="32">
        <v>7833</v>
      </c>
      <c r="M52" s="91">
        <v>-3.69</v>
      </c>
      <c r="N52" s="32">
        <v>9663</v>
      </c>
      <c r="O52" s="91">
        <v>12.61</v>
      </c>
      <c r="P52" s="32">
        <v>9840</v>
      </c>
      <c r="Q52" s="91">
        <v>-7.34</v>
      </c>
    </row>
    <row r="53" spans="1:25" s="101" customFormat="1" ht="12" customHeight="1" x14ac:dyDescent="0.4">
      <c r="A53" s="33" t="s">
        <v>73</v>
      </c>
      <c r="B53" s="97" t="s">
        <v>63</v>
      </c>
      <c r="C53" s="118" t="s">
        <v>64</v>
      </c>
      <c r="D53" s="34">
        <v>8855</v>
      </c>
      <c r="E53" s="90">
        <v>3.17</v>
      </c>
      <c r="F53" s="34">
        <v>7275</v>
      </c>
      <c r="G53" s="90">
        <v>-1.76</v>
      </c>
      <c r="H53" s="97" t="s">
        <v>63</v>
      </c>
      <c r="I53" s="118" t="s">
        <v>64</v>
      </c>
      <c r="J53" s="97" t="s">
        <v>63</v>
      </c>
      <c r="K53" s="118" t="s">
        <v>64</v>
      </c>
      <c r="L53" s="34">
        <v>6959</v>
      </c>
      <c r="M53" s="90">
        <v>7.84</v>
      </c>
      <c r="N53" s="34">
        <v>6976</v>
      </c>
      <c r="O53" s="90">
        <v>5.38</v>
      </c>
      <c r="P53" s="34">
        <v>6985</v>
      </c>
      <c r="Q53" s="90">
        <v>0</v>
      </c>
    </row>
    <row r="54" spans="1:25" s="101" customFormat="1" ht="12" customHeight="1" x14ac:dyDescent="0.4">
      <c r="A54" s="15" t="s">
        <v>74</v>
      </c>
      <c r="B54" s="32">
        <v>6454</v>
      </c>
      <c r="C54" s="91">
        <v>-3.14</v>
      </c>
      <c r="D54" s="32">
        <v>6314</v>
      </c>
      <c r="E54" s="91">
        <v>6.12</v>
      </c>
      <c r="F54" s="32">
        <v>7037</v>
      </c>
      <c r="G54" s="91">
        <v>0.1</v>
      </c>
      <c r="H54" s="32">
        <v>6981</v>
      </c>
      <c r="I54" s="91">
        <v>1.0900000000000001</v>
      </c>
      <c r="J54" s="32">
        <v>6427</v>
      </c>
      <c r="K54" s="91">
        <v>7.42</v>
      </c>
      <c r="L54" s="32">
        <v>6533</v>
      </c>
      <c r="M54" s="91">
        <v>-0.52</v>
      </c>
      <c r="N54" s="32">
        <v>6667</v>
      </c>
      <c r="O54" s="91">
        <v>2.4</v>
      </c>
      <c r="P54" s="32">
        <v>6355</v>
      </c>
      <c r="Q54" s="91">
        <v>0</v>
      </c>
    </row>
    <row r="55" spans="1:25" s="101" customFormat="1" ht="12" customHeight="1" x14ac:dyDescent="0.4">
      <c r="A55" s="33" t="s">
        <v>75</v>
      </c>
      <c r="B55" s="34">
        <v>2433</v>
      </c>
      <c r="C55" s="90">
        <v>-19.14</v>
      </c>
      <c r="D55" s="34">
        <v>2166</v>
      </c>
      <c r="E55" s="90">
        <v>0.05</v>
      </c>
      <c r="F55" s="97" t="s">
        <v>63</v>
      </c>
      <c r="G55" s="118" t="s">
        <v>64</v>
      </c>
      <c r="H55" s="34">
        <v>2891</v>
      </c>
      <c r="I55" s="92">
        <v>-7.87</v>
      </c>
      <c r="J55" s="34">
        <v>2460</v>
      </c>
      <c r="K55" s="90">
        <v>-9.23</v>
      </c>
      <c r="L55" s="34">
        <v>2654</v>
      </c>
      <c r="M55" s="90">
        <v>-6.45</v>
      </c>
      <c r="N55" s="34">
        <v>2588</v>
      </c>
      <c r="O55" s="90">
        <v>-6.47</v>
      </c>
      <c r="P55" s="34">
        <v>2850</v>
      </c>
      <c r="Q55" s="90">
        <v>-1.32</v>
      </c>
    </row>
    <row r="56" spans="1:25" s="103" customFormat="1" ht="12" customHeight="1" x14ac:dyDescent="0.45">
      <c r="A56" s="15" t="s">
        <v>76</v>
      </c>
      <c r="B56" s="107" t="s">
        <v>63</v>
      </c>
      <c r="C56" s="119" t="s">
        <v>64</v>
      </c>
      <c r="D56" s="32">
        <v>554</v>
      </c>
      <c r="E56" s="93">
        <v>0.36</v>
      </c>
      <c r="F56" s="107" t="s">
        <v>63</v>
      </c>
      <c r="G56" s="119" t="s">
        <v>64</v>
      </c>
      <c r="H56" s="32">
        <v>581</v>
      </c>
      <c r="I56" s="91">
        <v>3.38</v>
      </c>
      <c r="J56" s="32">
        <v>597</v>
      </c>
      <c r="K56" s="91">
        <v>6.42</v>
      </c>
      <c r="L56" s="32">
        <v>520</v>
      </c>
      <c r="M56" s="91">
        <v>2.16</v>
      </c>
      <c r="N56" s="32">
        <v>566</v>
      </c>
      <c r="O56" s="91">
        <v>1.43</v>
      </c>
      <c r="P56" s="32">
        <v>617</v>
      </c>
      <c r="Q56" s="91">
        <v>1.1499999999999999</v>
      </c>
      <c r="R56" s="152"/>
      <c r="S56" s="87"/>
      <c r="T56" s="152"/>
      <c r="U56" s="87"/>
      <c r="V56" s="152"/>
      <c r="W56" s="86"/>
      <c r="X56" s="152"/>
      <c r="Y56" s="87"/>
    </row>
    <row r="57" spans="1:25" s="38" customFormat="1" ht="12" customHeight="1" x14ac:dyDescent="0.45">
      <c r="A57" s="33" t="s">
        <v>77</v>
      </c>
      <c r="B57" s="34" t="s">
        <v>63</v>
      </c>
      <c r="C57" s="90" t="s">
        <v>64</v>
      </c>
      <c r="D57" s="34">
        <v>17294</v>
      </c>
      <c r="E57" s="90">
        <v>2.93</v>
      </c>
      <c r="F57" s="34">
        <v>19813</v>
      </c>
      <c r="G57" s="90">
        <v>-0.94</v>
      </c>
      <c r="H57" s="34" t="s">
        <v>63</v>
      </c>
      <c r="I57" s="90" t="s">
        <v>64</v>
      </c>
      <c r="J57" s="34">
        <v>11787</v>
      </c>
      <c r="K57" s="90">
        <v>-0.04</v>
      </c>
      <c r="L57" s="34">
        <v>19500</v>
      </c>
      <c r="M57" s="90">
        <v>0</v>
      </c>
      <c r="N57" s="34">
        <v>22219</v>
      </c>
      <c r="O57" s="90">
        <v>0.03</v>
      </c>
      <c r="P57" s="97" t="s">
        <v>63</v>
      </c>
      <c r="Q57" s="118" t="s">
        <v>64</v>
      </c>
      <c r="S57" s="94"/>
      <c r="U57" s="94"/>
      <c r="W57" s="94"/>
      <c r="Y57" s="94"/>
    </row>
    <row r="58" spans="1:25" s="38" customFormat="1" ht="12" customHeight="1" x14ac:dyDescent="0.45">
      <c r="A58" s="15" t="s">
        <v>78</v>
      </c>
      <c r="B58" s="32">
        <v>20667</v>
      </c>
      <c r="C58" s="91">
        <v>1.22</v>
      </c>
      <c r="D58" s="32">
        <v>22025</v>
      </c>
      <c r="E58" s="91">
        <v>7.0000000000000007E-2</v>
      </c>
      <c r="F58" s="107" t="s">
        <v>63</v>
      </c>
      <c r="G58" s="119" t="s">
        <v>64</v>
      </c>
      <c r="H58" s="32">
        <v>17860</v>
      </c>
      <c r="I58" s="138">
        <v>3.61</v>
      </c>
      <c r="J58" s="32">
        <v>24385</v>
      </c>
      <c r="K58" s="91">
        <v>-1.8</v>
      </c>
      <c r="L58" s="32">
        <v>21250</v>
      </c>
      <c r="M58" s="91">
        <v>0.89</v>
      </c>
      <c r="N58" s="32">
        <v>24603</v>
      </c>
      <c r="O58" s="91">
        <v>1.19</v>
      </c>
      <c r="P58" s="32">
        <v>23000</v>
      </c>
      <c r="Q58" s="91">
        <v>0</v>
      </c>
      <c r="S58" s="94"/>
      <c r="U58" s="94"/>
      <c r="W58" s="94"/>
      <c r="Y58" s="94"/>
    </row>
    <row r="59" spans="1:25" s="38" customFormat="1" ht="12" customHeight="1" x14ac:dyDescent="0.45">
      <c r="A59" s="33" t="s">
        <v>79</v>
      </c>
      <c r="B59" s="34">
        <v>22667</v>
      </c>
      <c r="C59" s="90">
        <v>0</v>
      </c>
      <c r="D59" s="34">
        <v>23656</v>
      </c>
      <c r="E59" s="90">
        <v>0.62</v>
      </c>
      <c r="F59" s="34">
        <v>33950</v>
      </c>
      <c r="G59" s="90">
        <v>0</v>
      </c>
      <c r="H59" s="34">
        <v>22844</v>
      </c>
      <c r="I59" s="90">
        <v>4.83</v>
      </c>
      <c r="J59" s="80">
        <v>29115</v>
      </c>
      <c r="K59" s="104">
        <v>2.1800000000000002</v>
      </c>
      <c r="L59" s="34">
        <v>24750</v>
      </c>
      <c r="M59" s="90">
        <v>0.34</v>
      </c>
      <c r="N59" s="34">
        <v>27469</v>
      </c>
      <c r="O59" s="90">
        <v>0.9</v>
      </c>
      <c r="P59" s="34">
        <v>25000</v>
      </c>
      <c r="Q59" s="90">
        <v>0</v>
      </c>
      <c r="S59" s="94"/>
      <c r="U59" s="94"/>
      <c r="W59" s="94"/>
      <c r="Y59" s="94"/>
    </row>
    <row r="60" spans="1:25" s="38" customFormat="1" ht="12" customHeight="1" x14ac:dyDescent="0.45">
      <c r="A60" s="15" t="s">
        <v>80</v>
      </c>
      <c r="B60" s="32">
        <v>11358</v>
      </c>
      <c r="C60" s="91">
        <v>2.63</v>
      </c>
      <c r="D60" s="32">
        <v>15423</v>
      </c>
      <c r="E60" s="91">
        <v>-4.75</v>
      </c>
      <c r="F60" s="32">
        <v>16600</v>
      </c>
      <c r="G60" s="91">
        <v>-0.75</v>
      </c>
      <c r="H60" s="32">
        <v>12169</v>
      </c>
      <c r="I60" s="91">
        <v>-3.66</v>
      </c>
      <c r="J60" s="32">
        <v>13610</v>
      </c>
      <c r="K60" s="91">
        <v>-0.66</v>
      </c>
      <c r="L60" s="32">
        <v>13358</v>
      </c>
      <c r="M60" s="91">
        <v>0.44</v>
      </c>
      <c r="N60" s="32">
        <v>15031</v>
      </c>
      <c r="O60" s="91">
        <v>4.88</v>
      </c>
      <c r="P60" s="107" t="s">
        <v>63</v>
      </c>
      <c r="Q60" s="119" t="s">
        <v>64</v>
      </c>
      <c r="S60" s="94"/>
      <c r="U60" s="94"/>
      <c r="W60" s="94"/>
      <c r="Y60" s="94"/>
    </row>
    <row r="61" spans="1:25" s="38" customFormat="1" ht="12" customHeight="1" x14ac:dyDescent="0.45">
      <c r="A61" s="33" t="s">
        <v>81</v>
      </c>
      <c r="B61" s="34">
        <v>9153</v>
      </c>
      <c r="C61" s="90">
        <v>-13.95</v>
      </c>
      <c r="D61" s="120">
        <v>3033</v>
      </c>
      <c r="E61" s="127">
        <v>-8.86</v>
      </c>
      <c r="F61" s="34">
        <v>8260</v>
      </c>
      <c r="G61" s="90">
        <v>-7.47</v>
      </c>
      <c r="H61" s="34">
        <v>9533</v>
      </c>
      <c r="I61" s="92">
        <v>-5.13</v>
      </c>
      <c r="J61" s="34">
        <v>12059</v>
      </c>
      <c r="K61" s="90">
        <v>0.87</v>
      </c>
      <c r="L61" s="97" t="s">
        <v>63</v>
      </c>
      <c r="M61" s="118" t="s">
        <v>64</v>
      </c>
      <c r="N61" s="34">
        <v>8060</v>
      </c>
      <c r="O61" s="90">
        <v>-2.2400000000000002</v>
      </c>
      <c r="P61" s="34">
        <v>9105</v>
      </c>
      <c r="Q61" s="90">
        <v>-3.17</v>
      </c>
      <c r="S61" s="94"/>
      <c r="U61" s="94"/>
      <c r="W61" s="94"/>
      <c r="Y61" s="94"/>
    </row>
    <row r="62" spans="1:25" s="38" customFormat="1" ht="12" customHeight="1" x14ac:dyDescent="0.45">
      <c r="A62" s="15" t="s">
        <v>82</v>
      </c>
      <c r="B62" s="32">
        <v>3736</v>
      </c>
      <c r="C62" s="91">
        <v>-4.13</v>
      </c>
      <c r="D62" s="32">
        <v>3976</v>
      </c>
      <c r="E62" s="91">
        <v>-0.57999999999999996</v>
      </c>
      <c r="F62" s="32">
        <v>4019</v>
      </c>
      <c r="G62" s="91">
        <v>-0.4</v>
      </c>
      <c r="H62" s="32">
        <v>3794</v>
      </c>
      <c r="I62" s="91">
        <v>0.77</v>
      </c>
      <c r="J62" s="32">
        <v>3828</v>
      </c>
      <c r="K62" s="91">
        <v>0.13</v>
      </c>
      <c r="L62" s="107" t="s">
        <v>63</v>
      </c>
      <c r="M62" s="119" t="s">
        <v>64</v>
      </c>
      <c r="N62" s="32">
        <v>3914</v>
      </c>
      <c r="O62" s="91">
        <v>0.1</v>
      </c>
      <c r="P62" s="107" t="s">
        <v>63</v>
      </c>
      <c r="Q62" s="119" t="s">
        <v>64</v>
      </c>
      <c r="S62" s="94"/>
      <c r="U62" s="94"/>
      <c r="W62" s="94"/>
      <c r="Y62" s="94"/>
    </row>
    <row r="63" spans="1:25" s="38" customFormat="1" ht="12" customHeight="1" x14ac:dyDescent="0.45">
      <c r="A63" s="33" t="s">
        <v>83</v>
      </c>
      <c r="B63" s="34">
        <v>11565</v>
      </c>
      <c r="C63" s="90">
        <v>3.39</v>
      </c>
      <c r="D63" s="34">
        <v>12988</v>
      </c>
      <c r="E63" s="90">
        <v>1.82</v>
      </c>
      <c r="F63" s="34">
        <v>14925</v>
      </c>
      <c r="G63" s="90">
        <v>1.65</v>
      </c>
      <c r="H63" s="34">
        <v>12098</v>
      </c>
      <c r="I63" s="90">
        <v>10.17</v>
      </c>
      <c r="J63" s="34">
        <v>15191</v>
      </c>
      <c r="K63" s="90">
        <v>0.96</v>
      </c>
      <c r="L63" s="34">
        <v>14091</v>
      </c>
      <c r="M63" s="104">
        <v>-0.08</v>
      </c>
      <c r="N63" s="34">
        <v>12560</v>
      </c>
      <c r="O63" s="90">
        <v>0.08</v>
      </c>
      <c r="P63" s="34">
        <v>18208</v>
      </c>
      <c r="Q63" s="90">
        <v>0.32</v>
      </c>
      <c r="S63" s="94"/>
      <c r="U63" s="94"/>
      <c r="W63" s="94"/>
      <c r="Y63" s="94"/>
    </row>
    <row r="64" spans="1:25" s="38" customFormat="1" ht="12" customHeight="1" x14ac:dyDescent="0.45">
      <c r="A64" s="15" t="s">
        <v>84</v>
      </c>
      <c r="B64" s="32">
        <v>3054</v>
      </c>
      <c r="C64" s="91">
        <v>-9.35</v>
      </c>
      <c r="D64" s="32">
        <v>3535</v>
      </c>
      <c r="E64" s="91">
        <v>-2.3199999999999998</v>
      </c>
      <c r="F64" s="32">
        <v>4184</v>
      </c>
      <c r="G64" s="91">
        <v>-4.93</v>
      </c>
      <c r="H64" s="32">
        <v>3159</v>
      </c>
      <c r="I64" s="91">
        <v>-4.53</v>
      </c>
      <c r="J64" s="32">
        <v>5120</v>
      </c>
      <c r="K64" s="91">
        <v>1.05</v>
      </c>
      <c r="L64" s="32">
        <v>3758</v>
      </c>
      <c r="M64" s="108">
        <v>-0.77</v>
      </c>
      <c r="N64" s="32">
        <v>4311</v>
      </c>
      <c r="O64" s="91">
        <v>-1.1000000000000001</v>
      </c>
      <c r="P64" s="32">
        <v>4305</v>
      </c>
      <c r="Q64" s="91">
        <v>-0.67</v>
      </c>
      <c r="S64" s="94"/>
      <c r="U64" s="94"/>
      <c r="W64" s="94"/>
      <c r="Y64" s="94"/>
    </row>
    <row r="65" spans="1:25" s="38" customFormat="1" ht="12" customHeight="1" x14ac:dyDescent="0.45">
      <c r="A65" s="33" t="s">
        <v>85</v>
      </c>
      <c r="B65" s="34">
        <v>3621</v>
      </c>
      <c r="C65" s="90">
        <v>-15.4</v>
      </c>
      <c r="D65" s="34">
        <v>4403</v>
      </c>
      <c r="E65" s="104">
        <v>-0.38</v>
      </c>
      <c r="F65" s="34">
        <v>3443</v>
      </c>
      <c r="G65" s="90">
        <v>-6.34</v>
      </c>
      <c r="H65" s="34">
        <v>4182</v>
      </c>
      <c r="I65" s="90">
        <v>-1.27</v>
      </c>
      <c r="J65" s="34">
        <v>5472</v>
      </c>
      <c r="K65" s="92">
        <v>-1.51</v>
      </c>
      <c r="L65" s="34">
        <v>3317</v>
      </c>
      <c r="M65" s="90">
        <v>0.3</v>
      </c>
      <c r="N65" s="34" t="s">
        <v>63</v>
      </c>
      <c r="O65" s="118" t="s">
        <v>64</v>
      </c>
      <c r="P65" s="34">
        <v>4118</v>
      </c>
      <c r="Q65" s="90">
        <v>-1.1499999999999999</v>
      </c>
      <c r="S65" s="94"/>
      <c r="U65" s="94"/>
      <c r="W65" s="94"/>
      <c r="Y65" s="94"/>
    </row>
    <row r="66" spans="1:25" s="38" customFormat="1" ht="12" customHeight="1" x14ac:dyDescent="0.45">
      <c r="A66" s="15" t="s">
        <v>86</v>
      </c>
      <c r="B66" s="32">
        <v>33215</v>
      </c>
      <c r="C66" s="91">
        <v>10.14</v>
      </c>
      <c r="D66" s="32">
        <v>33252</v>
      </c>
      <c r="E66" s="93">
        <v>0.1</v>
      </c>
      <c r="F66" s="32" t="s">
        <v>63</v>
      </c>
      <c r="G66" s="119" t="s">
        <v>64</v>
      </c>
      <c r="H66" s="32">
        <v>32726</v>
      </c>
      <c r="I66" s="91">
        <v>4.49</v>
      </c>
      <c r="J66" s="32">
        <v>33796</v>
      </c>
      <c r="K66" s="93">
        <v>2.1</v>
      </c>
      <c r="L66" s="32" t="s">
        <v>63</v>
      </c>
      <c r="M66" s="119" t="s">
        <v>64</v>
      </c>
      <c r="N66" s="32">
        <v>32014</v>
      </c>
      <c r="O66" s="91">
        <v>-1.02</v>
      </c>
      <c r="P66" s="32" t="s">
        <v>63</v>
      </c>
      <c r="Q66" s="119" t="s">
        <v>64</v>
      </c>
      <c r="S66" s="94"/>
      <c r="U66" s="94"/>
      <c r="W66" s="94"/>
      <c r="Y66" s="94"/>
    </row>
    <row r="67" spans="1:25" s="38" customFormat="1" ht="12" customHeight="1" x14ac:dyDescent="0.45">
      <c r="A67" s="33" t="s">
        <v>87</v>
      </c>
      <c r="B67" s="34">
        <v>38884</v>
      </c>
      <c r="C67" s="127">
        <v>-0.11</v>
      </c>
      <c r="D67" s="34">
        <v>29321</v>
      </c>
      <c r="E67" s="90">
        <v>-0.3</v>
      </c>
      <c r="F67" s="34">
        <v>35558</v>
      </c>
      <c r="G67" s="90">
        <v>1.37</v>
      </c>
      <c r="H67" s="112" t="s">
        <v>63</v>
      </c>
      <c r="I67" s="118" t="s">
        <v>64</v>
      </c>
      <c r="J67" s="34">
        <v>30842</v>
      </c>
      <c r="K67" s="90">
        <v>0.34</v>
      </c>
      <c r="L67" s="34">
        <v>30719</v>
      </c>
      <c r="M67" s="90">
        <v>0.21</v>
      </c>
      <c r="N67" s="34">
        <v>31820</v>
      </c>
      <c r="O67" s="90">
        <v>-2.96</v>
      </c>
      <c r="P67" s="34">
        <v>38647</v>
      </c>
      <c r="Q67" s="90">
        <v>-0.28999999999999998</v>
      </c>
      <c r="R67" s="153"/>
      <c r="S67" s="40"/>
      <c r="T67" s="153"/>
      <c r="U67" s="40"/>
      <c r="V67" s="153"/>
      <c r="W67" s="40"/>
      <c r="X67" s="153"/>
      <c r="Y67" s="40"/>
    </row>
    <row r="68" spans="1:25" s="38" customFormat="1" ht="12" customHeight="1" x14ac:dyDescent="0.45">
      <c r="A68" s="15" t="s">
        <v>88</v>
      </c>
      <c r="B68" s="113">
        <v>16745</v>
      </c>
      <c r="C68" s="108">
        <v>-0.46</v>
      </c>
      <c r="D68" s="32">
        <v>14263</v>
      </c>
      <c r="E68" s="91">
        <v>1.56</v>
      </c>
      <c r="F68" s="32">
        <v>17010</v>
      </c>
      <c r="G68" s="91">
        <v>0.35</v>
      </c>
      <c r="H68" s="107" t="s">
        <v>63</v>
      </c>
      <c r="I68" s="119" t="s">
        <v>64</v>
      </c>
      <c r="J68" s="32">
        <v>26333</v>
      </c>
      <c r="K68" s="91">
        <v>-1.25</v>
      </c>
      <c r="L68" s="111" t="s">
        <v>63</v>
      </c>
      <c r="M68" s="119" t="s">
        <v>64</v>
      </c>
      <c r="N68" s="32">
        <v>14551</v>
      </c>
      <c r="O68" s="91">
        <v>0.15</v>
      </c>
      <c r="P68" s="32">
        <v>20859</v>
      </c>
      <c r="Q68" s="91">
        <v>0</v>
      </c>
      <c r="R68" s="153"/>
      <c r="S68" s="40"/>
      <c r="T68" s="153"/>
      <c r="U68" s="40"/>
      <c r="V68" s="153"/>
      <c r="W68" s="40"/>
      <c r="X68" s="153"/>
      <c r="Y68" s="40"/>
    </row>
    <row r="69" spans="1:25" s="38" customFormat="1" ht="12" customHeight="1" x14ac:dyDescent="0.45">
      <c r="A69" s="33" t="s">
        <v>89</v>
      </c>
      <c r="B69" s="34">
        <v>4150</v>
      </c>
      <c r="C69" s="90">
        <v>6.33</v>
      </c>
      <c r="D69" s="34">
        <v>2993</v>
      </c>
      <c r="E69" s="90">
        <v>-2.67</v>
      </c>
      <c r="F69" s="34">
        <v>3443</v>
      </c>
      <c r="G69" s="90">
        <v>0.7</v>
      </c>
      <c r="H69" s="97" t="s">
        <v>63</v>
      </c>
      <c r="I69" s="118" t="s">
        <v>64</v>
      </c>
      <c r="J69" s="34">
        <v>5381</v>
      </c>
      <c r="K69" s="90">
        <v>-1.23</v>
      </c>
      <c r="L69" s="120">
        <v>3046</v>
      </c>
      <c r="M69" s="104">
        <v>-5.23</v>
      </c>
      <c r="N69" s="34">
        <v>4241</v>
      </c>
      <c r="O69" s="90">
        <v>0.56999999999999995</v>
      </c>
      <c r="P69" s="34">
        <v>4878</v>
      </c>
      <c r="Q69" s="90">
        <v>-1.55</v>
      </c>
      <c r="R69" s="153"/>
      <c r="S69" s="40"/>
      <c r="T69" s="153"/>
      <c r="U69" s="40"/>
      <c r="V69" s="153"/>
      <c r="W69" s="40"/>
      <c r="X69" s="153"/>
      <c r="Y69" s="40"/>
    </row>
    <row r="70" spans="1:25" s="38" customFormat="1" ht="12" customHeight="1" x14ac:dyDescent="0.45">
      <c r="A70" s="15" t="s">
        <v>90</v>
      </c>
      <c r="B70" s="32">
        <v>6896</v>
      </c>
      <c r="C70" s="91">
        <v>-2.5</v>
      </c>
      <c r="D70" s="32">
        <v>7343</v>
      </c>
      <c r="E70" s="91">
        <v>-0.45</v>
      </c>
      <c r="F70" s="32">
        <v>7467</v>
      </c>
      <c r="G70" s="91">
        <v>0.73</v>
      </c>
      <c r="H70" s="32">
        <v>6573</v>
      </c>
      <c r="I70" s="91">
        <v>-6.01</v>
      </c>
      <c r="J70" s="32">
        <v>7778</v>
      </c>
      <c r="K70" s="91">
        <v>0.91</v>
      </c>
      <c r="L70" s="32">
        <v>3951</v>
      </c>
      <c r="M70" s="91">
        <v>-1.37</v>
      </c>
      <c r="N70" s="32">
        <v>7733</v>
      </c>
      <c r="O70" s="91">
        <v>0.51</v>
      </c>
      <c r="P70" s="32">
        <v>6852</v>
      </c>
      <c r="Q70" s="91">
        <v>0</v>
      </c>
      <c r="R70" s="153"/>
      <c r="S70" s="40"/>
      <c r="T70" s="153"/>
      <c r="U70" s="40"/>
      <c r="V70" s="153"/>
      <c r="W70" s="40"/>
      <c r="X70" s="153"/>
      <c r="Y70" s="40"/>
    </row>
    <row r="71" spans="1:25" s="38" customFormat="1" ht="12" customHeight="1" x14ac:dyDescent="0.45">
      <c r="A71" s="33" t="s">
        <v>91</v>
      </c>
      <c r="B71" s="34">
        <v>18160</v>
      </c>
      <c r="C71" s="90">
        <v>7.01</v>
      </c>
      <c r="D71" s="112">
        <v>17154</v>
      </c>
      <c r="E71" s="118">
        <v>24.26</v>
      </c>
      <c r="F71" s="34">
        <v>14261</v>
      </c>
      <c r="G71" s="90">
        <v>4</v>
      </c>
      <c r="H71" s="34">
        <v>17867</v>
      </c>
      <c r="I71" s="90">
        <v>2.06</v>
      </c>
      <c r="J71" s="34">
        <v>20463</v>
      </c>
      <c r="K71" s="90">
        <v>-2.0499999999999998</v>
      </c>
      <c r="L71" s="34">
        <v>12990</v>
      </c>
      <c r="M71" s="90">
        <v>-4.45</v>
      </c>
      <c r="N71" s="34">
        <v>19978</v>
      </c>
      <c r="O71" s="90">
        <v>-1.08</v>
      </c>
      <c r="P71" s="34" t="s">
        <v>63</v>
      </c>
      <c r="Q71" s="90" t="s">
        <v>64</v>
      </c>
      <c r="S71" s="94"/>
      <c r="U71" s="94"/>
      <c r="W71" s="94"/>
      <c r="Y71" s="94"/>
    </row>
    <row r="72" spans="1:25" s="38" customFormat="1" ht="12" customHeight="1" x14ac:dyDescent="0.45">
      <c r="A72" s="130" t="s">
        <v>92</v>
      </c>
      <c r="B72" s="131">
        <v>15275</v>
      </c>
      <c r="C72" s="132">
        <v>-0.01</v>
      </c>
      <c r="D72" s="133">
        <v>16744</v>
      </c>
      <c r="E72" s="134">
        <v>-2.02</v>
      </c>
      <c r="F72" s="135" t="s">
        <v>63</v>
      </c>
      <c r="G72" s="136" t="s">
        <v>64</v>
      </c>
      <c r="H72" s="131">
        <v>11811</v>
      </c>
      <c r="I72" s="132">
        <v>-3.23</v>
      </c>
      <c r="J72" s="131">
        <v>14101</v>
      </c>
      <c r="K72" s="132">
        <v>-5.17</v>
      </c>
      <c r="L72" s="133">
        <v>18627</v>
      </c>
      <c r="M72" s="137">
        <v>-2.0299999999999998</v>
      </c>
      <c r="N72" s="135">
        <v>10891</v>
      </c>
      <c r="O72" s="136">
        <v>7.0000000000000007E-2</v>
      </c>
      <c r="P72" s="131">
        <v>17554</v>
      </c>
      <c r="Q72" s="132">
        <v>-1.32</v>
      </c>
      <c r="S72" s="94"/>
      <c r="U72" s="94"/>
      <c r="W72" s="94"/>
      <c r="Y72" s="94"/>
    </row>
    <row r="73" spans="1:25" s="38" customFormat="1" x14ac:dyDescent="0.45">
      <c r="A73" s="15"/>
      <c r="B73" s="32"/>
      <c r="C73" s="91"/>
      <c r="D73" s="113"/>
      <c r="E73" s="93"/>
      <c r="F73" s="111"/>
      <c r="G73" s="81"/>
      <c r="H73" s="32"/>
      <c r="I73" s="91"/>
      <c r="J73" s="32"/>
      <c r="K73" s="91"/>
      <c r="L73" s="113"/>
      <c r="M73" s="108"/>
      <c r="N73" s="111"/>
      <c r="O73" s="114"/>
      <c r="P73" s="32"/>
      <c r="Q73" s="91"/>
      <c r="R73" s="35"/>
      <c r="S73" s="36"/>
      <c r="T73" s="35"/>
      <c r="U73" s="36"/>
      <c r="V73" s="35"/>
      <c r="W73" s="36"/>
      <c r="X73" s="35"/>
      <c r="Y73" s="36"/>
    </row>
    <row r="74" spans="1:25" s="38" customFormat="1" x14ac:dyDescent="0.45">
      <c r="A74" s="24" t="s">
        <v>12</v>
      </c>
      <c r="B74" s="39"/>
      <c r="C74" s="40"/>
      <c r="D74" s="39"/>
      <c r="E74" s="40"/>
      <c r="F74" s="39"/>
      <c r="G74" s="40"/>
      <c r="H74" s="39"/>
      <c r="I74" s="40"/>
      <c r="J74" s="39"/>
      <c r="K74" s="40"/>
      <c r="L74" s="39"/>
      <c r="M74" s="40"/>
      <c r="N74" s="39"/>
      <c r="O74" s="40"/>
      <c r="P74" s="39"/>
      <c r="Q74" s="40"/>
      <c r="R74" s="39"/>
      <c r="S74" s="40"/>
      <c r="T74" s="39"/>
      <c r="U74" s="40"/>
      <c r="V74" s="39"/>
      <c r="W74" s="40"/>
      <c r="X74" s="39"/>
      <c r="Y74" s="40"/>
    </row>
    <row r="75" spans="1:25" s="38" customFormat="1" x14ac:dyDescent="0.45">
      <c r="A75" s="41" t="s">
        <v>13</v>
      </c>
      <c r="B75" s="39"/>
      <c r="C75" s="40"/>
      <c r="D75" s="39"/>
      <c r="E75" s="40"/>
      <c r="F75" s="39"/>
      <c r="G75" s="40"/>
      <c r="H75" s="39"/>
      <c r="I75" s="40"/>
      <c r="J75" s="39"/>
      <c r="K75" s="40"/>
      <c r="L75" s="39"/>
      <c r="M75" s="40"/>
      <c r="N75" s="39"/>
      <c r="O75" s="40"/>
      <c r="P75" s="39"/>
      <c r="Q75" s="40"/>
      <c r="R75" s="39"/>
      <c r="S75" s="40"/>
      <c r="T75" s="39"/>
      <c r="U75" s="40"/>
      <c r="V75" s="39"/>
      <c r="W75" s="40"/>
      <c r="X75" s="39"/>
      <c r="Y75" s="40"/>
    </row>
    <row r="76" spans="1:25" s="38" customFormat="1" ht="19.5" customHeight="1" x14ac:dyDescent="0.45">
      <c r="A76" s="157" t="s">
        <v>49</v>
      </c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</row>
    <row r="77" spans="1:25" s="38" customFormat="1" x14ac:dyDescent="0.45">
      <c r="A77" s="24" t="s">
        <v>14</v>
      </c>
      <c r="B77" s="42"/>
      <c r="C77" s="43"/>
      <c r="D77" s="44"/>
      <c r="E77" s="43"/>
      <c r="F77" s="44"/>
      <c r="G77" s="43"/>
      <c r="H77" s="45"/>
      <c r="I77" s="43"/>
      <c r="J77" s="42"/>
      <c r="K77" s="43"/>
      <c r="L77" s="44"/>
      <c r="M77" s="43"/>
      <c r="N77" s="44"/>
      <c r="O77" s="43"/>
      <c r="P77" s="45"/>
      <c r="Q77" s="43"/>
      <c r="R77" s="44"/>
      <c r="S77" s="46"/>
      <c r="T77" s="44"/>
      <c r="U77" s="46"/>
      <c r="V77" s="44"/>
      <c r="W77" s="46"/>
      <c r="X77" s="44"/>
      <c r="Y77" s="46"/>
    </row>
    <row r="78" spans="1:25" s="38" customFormat="1" x14ac:dyDescent="0.45">
      <c r="A78" s="47" t="s">
        <v>15</v>
      </c>
      <c r="B78" s="39"/>
      <c r="C78" s="40"/>
      <c r="D78" s="39"/>
      <c r="E78" s="40"/>
      <c r="F78" s="39"/>
      <c r="G78" s="40"/>
      <c r="H78" s="39"/>
      <c r="I78" s="40"/>
      <c r="J78" s="39"/>
      <c r="K78" s="40"/>
      <c r="L78" s="39"/>
      <c r="M78" s="40"/>
      <c r="N78" s="39"/>
      <c r="O78" s="40"/>
      <c r="P78" s="39"/>
      <c r="Q78" s="40"/>
      <c r="R78" s="39"/>
      <c r="S78" s="40"/>
      <c r="T78" s="39"/>
      <c r="U78" s="40"/>
      <c r="V78" s="39"/>
      <c r="W78" s="40"/>
      <c r="X78" s="39"/>
      <c r="Y78" s="40"/>
    </row>
    <row r="80" spans="1:25" x14ac:dyDescent="0.45">
      <c r="A80" s="8" t="str">
        <f>+Índice!A14</f>
        <v>Fecha de actualización: 9 de noviembre de 2023</v>
      </c>
      <c r="B80" s="6"/>
      <c r="C80" s="7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</row>
  </sheetData>
  <mergeCells count="11">
    <mergeCell ref="A76:Y76"/>
    <mergeCell ref="A4:Q5"/>
    <mergeCell ref="H9:I9"/>
    <mergeCell ref="J9:K9"/>
    <mergeCell ref="L9:M9"/>
    <mergeCell ref="N9:O9"/>
    <mergeCell ref="P9:Q9"/>
    <mergeCell ref="A9:A10"/>
    <mergeCell ref="B9:C9"/>
    <mergeCell ref="D9:E9"/>
    <mergeCell ref="F9:G9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012-A8C4-4438-9A11-59B020FA0AB4}">
  <dimension ref="A1:I55"/>
  <sheetViews>
    <sheetView showGridLines="0" topLeftCell="A28" zoomScale="70" zoomScaleNormal="70" workbookViewId="0">
      <selection activeCell="B11" sqref="B11:I45"/>
    </sheetView>
  </sheetViews>
  <sheetFormatPr baseColWidth="10" defaultColWidth="11.453125" defaultRowHeight="16" x14ac:dyDescent="0.45"/>
  <cols>
    <col min="1" max="1" width="24.453125" style="54" customWidth="1"/>
    <col min="2" max="2" width="12" style="54" bestFit="1" customWidth="1"/>
    <col min="3" max="3" width="9.453125" style="54" customWidth="1"/>
    <col min="4" max="4" width="13.54296875" style="54" bestFit="1" customWidth="1"/>
    <col min="5" max="5" width="12" style="54" customWidth="1"/>
    <col min="6" max="6" width="10.26953125" style="54" customWidth="1"/>
    <col min="7" max="7" width="9.453125" style="54" customWidth="1"/>
    <col min="8" max="8" width="10.54296875" style="54" customWidth="1"/>
    <col min="9" max="9" width="9.26953125" style="54" customWidth="1"/>
    <col min="10" max="16384" width="11.453125" style="54"/>
  </cols>
  <sheetData>
    <row r="1" spans="1:9" s="48" customFormat="1" ht="18" customHeight="1" x14ac:dyDescent="0.4"/>
    <row r="2" spans="1:9" s="48" customFormat="1" ht="33" customHeight="1" x14ac:dyDescent="0.4"/>
    <row r="3" spans="1:9" s="48" customFormat="1" ht="19" customHeight="1" x14ac:dyDescent="0.4"/>
    <row r="4" spans="1:9" s="48" customFormat="1" ht="18.75" customHeight="1" x14ac:dyDescent="0.4">
      <c r="A4" s="164" t="s">
        <v>0</v>
      </c>
      <c r="B4" s="164"/>
      <c r="C4" s="164"/>
      <c r="D4" s="164"/>
      <c r="E4" s="164"/>
      <c r="F4" s="164"/>
      <c r="G4" s="164"/>
      <c r="H4" s="164"/>
      <c r="I4" s="164"/>
    </row>
    <row r="5" spans="1:9" s="48" customFormat="1" ht="24" customHeight="1" x14ac:dyDescent="0.4">
      <c r="A5" s="164"/>
      <c r="B5" s="164"/>
      <c r="C5" s="164"/>
      <c r="D5" s="164"/>
      <c r="E5" s="164"/>
      <c r="F5" s="164"/>
      <c r="G5" s="164"/>
      <c r="H5" s="164"/>
      <c r="I5" s="164"/>
    </row>
    <row r="6" spans="1:9" s="48" customFormat="1" ht="18.75" customHeight="1" x14ac:dyDescent="0.4">
      <c r="A6" s="49" t="s">
        <v>16</v>
      </c>
      <c r="B6" s="50"/>
      <c r="C6" s="50"/>
      <c r="D6" s="50"/>
      <c r="E6" s="50"/>
      <c r="F6" s="50"/>
      <c r="G6" s="50"/>
      <c r="H6" s="50"/>
      <c r="I6" s="50"/>
    </row>
    <row r="7" spans="1:9" s="48" customFormat="1" ht="15" customHeight="1" x14ac:dyDescent="0.4">
      <c r="A7" s="49" t="s">
        <v>61</v>
      </c>
      <c r="B7" s="50"/>
      <c r="C7" s="50"/>
      <c r="D7" s="50"/>
      <c r="E7" s="50"/>
      <c r="F7" s="50"/>
      <c r="G7" s="50"/>
      <c r="H7" s="50"/>
      <c r="I7" s="50"/>
    </row>
    <row r="8" spans="1:9" s="48" customFormat="1" ht="14" x14ac:dyDescent="0.4"/>
    <row r="9" spans="1:9" x14ac:dyDescent="0.45">
      <c r="A9" s="51" t="s">
        <v>50</v>
      </c>
      <c r="B9" s="52" t="s">
        <v>2</v>
      </c>
      <c r="C9" s="52" t="s">
        <v>3</v>
      </c>
      <c r="D9" s="52" t="s">
        <v>4</v>
      </c>
      <c r="E9" s="53" t="s">
        <v>5</v>
      </c>
      <c r="F9" s="52" t="s">
        <v>6</v>
      </c>
      <c r="G9" s="52" t="s">
        <v>7</v>
      </c>
      <c r="H9" s="52" t="s">
        <v>8</v>
      </c>
      <c r="I9" s="52" t="s">
        <v>9</v>
      </c>
    </row>
    <row r="10" spans="1:9" ht="14" customHeight="1" x14ac:dyDescent="0.45">
      <c r="A10" s="55" t="s">
        <v>17</v>
      </c>
      <c r="B10" s="55"/>
      <c r="C10" s="55"/>
      <c r="D10" s="55"/>
      <c r="E10" s="55"/>
      <c r="F10" s="55"/>
      <c r="G10" s="55"/>
      <c r="H10" s="55"/>
      <c r="I10" s="55"/>
    </row>
    <row r="11" spans="1:9" ht="14" customHeight="1" x14ac:dyDescent="0.45">
      <c r="A11" s="1" t="s">
        <v>18</v>
      </c>
      <c r="B11" s="128" t="s">
        <v>64</v>
      </c>
      <c r="C11" s="56">
        <v>-1.6225448334756587</v>
      </c>
      <c r="D11" s="56">
        <v>-6.1327561327561453</v>
      </c>
      <c r="E11" s="128" t="s">
        <v>64</v>
      </c>
      <c r="F11" s="56">
        <v>-27.650063856960394</v>
      </c>
      <c r="G11" s="56">
        <v>-20.430701270016559</v>
      </c>
      <c r="H11" s="56">
        <v>-19.426751592356684</v>
      </c>
      <c r="I11" s="56">
        <v>0.59916117435589999</v>
      </c>
    </row>
    <row r="12" spans="1:9" ht="14" customHeight="1" x14ac:dyDescent="0.45">
      <c r="A12" s="98" t="s">
        <v>19</v>
      </c>
      <c r="B12" s="58">
        <v>6.0648049456405673</v>
      </c>
      <c r="C12" s="58">
        <v>-48.458027935278672</v>
      </c>
      <c r="D12" s="58">
        <v>-35.932321646607356</v>
      </c>
      <c r="E12" s="139" t="s">
        <v>64</v>
      </c>
      <c r="F12" s="58">
        <v>-54.814108674928519</v>
      </c>
      <c r="G12" s="58">
        <v>-27.844209087803208</v>
      </c>
      <c r="H12" s="58">
        <v>-53.276883996613037</v>
      </c>
      <c r="I12" s="126" t="s">
        <v>64</v>
      </c>
    </row>
    <row r="13" spans="1:9" ht="14" customHeight="1" x14ac:dyDescent="0.45">
      <c r="A13" s="1" t="s">
        <v>20</v>
      </c>
      <c r="B13" s="56">
        <v>-49.585942233892141</v>
      </c>
      <c r="C13" s="56">
        <v>-56.880733944954144</v>
      </c>
      <c r="D13" s="56">
        <v>-37.132442284325641</v>
      </c>
      <c r="E13" s="56">
        <v>-50.803792250618308</v>
      </c>
      <c r="F13" s="56">
        <v>-53.274299835255356</v>
      </c>
      <c r="G13" s="56">
        <v>-54.237288135593218</v>
      </c>
      <c r="H13" s="56">
        <v>-56.639458490941678</v>
      </c>
      <c r="I13" s="56">
        <v>-53.566229985443961</v>
      </c>
    </row>
    <row r="14" spans="1:9" ht="14" customHeight="1" x14ac:dyDescent="0.45">
      <c r="A14" s="98" t="s">
        <v>21</v>
      </c>
      <c r="B14" s="59">
        <v>-10.1035344519814</v>
      </c>
      <c r="C14" s="58">
        <v>-24.366893143915991</v>
      </c>
      <c r="D14" s="58">
        <v>-14.943013929928251</v>
      </c>
      <c r="E14" s="140">
        <v>-11.273923444976075</v>
      </c>
      <c r="F14" s="63">
        <v>-15.861214374225529</v>
      </c>
      <c r="G14" s="58">
        <v>-6.9470699432892413</v>
      </c>
      <c r="H14" s="58">
        <v>-44.452173913043467</v>
      </c>
      <c r="I14" s="58">
        <v>-3.1096563011456468</v>
      </c>
    </row>
    <row r="15" spans="1:9" ht="14" customHeight="1" x14ac:dyDescent="0.45">
      <c r="A15" s="1" t="s">
        <v>22</v>
      </c>
      <c r="B15" s="128" t="s">
        <v>64</v>
      </c>
      <c r="C15" s="56">
        <v>-51.087357169185395</v>
      </c>
      <c r="D15" s="56">
        <v>-12.856099342585846</v>
      </c>
      <c r="E15" s="56">
        <v>-10.305343511450404</v>
      </c>
      <c r="F15" s="56">
        <v>89.963167587477002</v>
      </c>
      <c r="G15" s="56">
        <v>-6.0546874999999893</v>
      </c>
      <c r="H15" s="56">
        <v>-2.73515677118078</v>
      </c>
      <c r="I15" s="141" t="s">
        <v>64</v>
      </c>
    </row>
    <row r="16" spans="1:9" ht="14" customHeight="1" x14ac:dyDescent="0.45">
      <c r="A16" s="98" t="s">
        <v>23</v>
      </c>
      <c r="B16" s="58">
        <v>36.118059029514747</v>
      </c>
      <c r="C16" s="58">
        <v>67.502986857825562</v>
      </c>
      <c r="D16" s="58">
        <v>68.938906752411569</v>
      </c>
      <c r="E16" s="58">
        <v>30.283911671924301</v>
      </c>
      <c r="F16" s="58">
        <v>98.612279226240545</v>
      </c>
      <c r="G16" s="58">
        <v>9.5855580981439203</v>
      </c>
      <c r="H16" s="58">
        <v>-11.959553695955371</v>
      </c>
      <c r="I16" s="58">
        <v>11.885546588407902</v>
      </c>
    </row>
    <row r="17" spans="1:9" ht="14" customHeight="1" x14ac:dyDescent="0.45">
      <c r="A17" s="1" t="s">
        <v>24</v>
      </c>
      <c r="B17" s="56">
        <v>-16.272189349112452</v>
      </c>
      <c r="C17" s="56">
        <v>-46.418732782369155</v>
      </c>
      <c r="D17" s="56">
        <v>-42.070191026210544</v>
      </c>
      <c r="E17" s="56">
        <v>-19.13915587129128</v>
      </c>
      <c r="F17" s="56">
        <v>-23.690773067331662</v>
      </c>
      <c r="G17" s="56">
        <v>-43.796255986068786</v>
      </c>
      <c r="H17" s="56">
        <v>-39.316239316239297</v>
      </c>
      <c r="I17" s="56">
        <v>0.38910505836575737</v>
      </c>
    </row>
    <row r="18" spans="1:9" ht="14" customHeight="1" x14ac:dyDescent="0.45">
      <c r="A18" s="98" t="s">
        <v>25</v>
      </c>
      <c r="B18" s="58">
        <v>-25.247524752475272</v>
      </c>
      <c r="C18" s="58">
        <v>-10.916359163591682</v>
      </c>
      <c r="D18" s="58">
        <v>-9.9567099567099309</v>
      </c>
      <c r="E18" s="58">
        <v>-25.994793603570077</v>
      </c>
      <c r="F18" s="58">
        <v>-16.481709823263447</v>
      </c>
      <c r="G18" s="58">
        <v>7.2595281306714776</v>
      </c>
      <c r="H18" s="58">
        <v>-5.173116089613039</v>
      </c>
      <c r="I18" s="58">
        <v>-15.068965517241384</v>
      </c>
    </row>
    <row r="19" spans="1:9" ht="14" customHeight="1" x14ac:dyDescent="0.45">
      <c r="A19" s="1" t="s">
        <v>26</v>
      </c>
      <c r="B19" s="56">
        <v>-12.058978409689336</v>
      </c>
      <c r="C19" s="56">
        <v>-34.219795702712219</v>
      </c>
      <c r="D19" s="56">
        <v>-21.220657276995315</v>
      </c>
      <c r="E19" s="56">
        <v>-30.553483514844125</v>
      </c>
      <c r="F19" s="56">
        <v>-19.498607242339826</v>
      </c>
      <c r="G19" s="56">
        <v>-27.831396493992532</v>
      </c>
      <c r="H19" s="56">
        <v>-38.531737984181703</v>
      </c>
      <c r="I19" s="56">
        <v>-38.807429130009737</v>
      </c>
    </row>
    <row r="20" spans="1:9" ht="14" customHeight="1" x14ac:dyDescent="0.45">
      <c r="A20" s="98" t="s">
        <v>27</v>
      </c>
      <c r="B20" s="58">
        <v>-50.263620386643247</v>
      </c>
      <c r="C20" s="58">
        <v>-55.052583447645162</v>
      </c>
      <c r="D20" s="58">
        <v>-51.716851558372937</v>
      </c>
      <c r="E20" s="58">
        <v>-45.227606461086609</v>
      </c>
      <c r="F20" s="58">
        <v>-45.56752278376139</v>
      </c>
      <c r="G20" s="58">
        <v>-63.244766505636065</v>
      </c>
      <c r="H20" s="58">
        <v>-54.585733274257876</v>
      </c>
      <c r="I20" s="142">
        <v>-48.097731239092504</v>
      </c>
    </row>
    <row r="21" spans="1:9" ht="14" customHeight="1" x14ac:dyDescent="0.45">
      <c r="A21" s="1" t="s">
        <v>28</v>
      </c>
      <c r="B21" s="56">
        <v>19.642857142857185</v>
      </c>
      <c r="C21" s="56">
        <v>29.977041653000967</v>
      </c>
      <c r="D21" s="56">
        <v>52.420981842636152</v>
      </c>
      <c r="E21" s="60">
        <v>31.229532598987731</v>
      </c>
      <c r="F21" s="60">
        <v>19.382104342757202</v>
      </c>
      <c r="G21" s="60">
        <v>51.733800350262669</v>
      </c>
      <c r="H21" s="56">
        <v>13.563627127254275</v>
      </c>
      <c r="I21" s="56">
        <v>33.640964572789535</v>
      </c>
    </row>
    <row r="22" spans="1:9" ht="14" customHeight="1" x14ac:dyDescent="0.45">
      <c r="A22" s="99" t="s">
        <v>29</v>
      </c>
      <c r="B22" s="65">
        <v>-30.909090909090907</v>
      </c>
      <c r="C22" s="62">
        <v>-34.541387024608497</v>
      </c>
      <c r="D22" s="62">
        <v>-23.821339950372213</v>
      </c>
      <c r="E22" s="62">
        <v>-29.016018306636159</v>
      </c>
      <c r="F22" s="62">
        <v>-34.182491894395561</v>
      </c>
      <c r="G22" s="62">
        <v>-29.825412221144532</v>
      </c>
      <c r="H22" s="62">
        <v>-69.721115537848604</v>
      </c>
      <c r="I22" s="82">
        <v>-35.958005249343842</v>
      </c>
    </row>
    <row r="23" spans="1:9" ht="14" customHeight="1" x14ac:dyDescent="0.45">
      <c r="A23" s="55" t="s">
        <v>30</v>
      </c>
      <c r="B23" s="129"/>
      <c r="C23" s="129"/>
      <c r="D23" s="129"/>
      <c r="E23" s="129"/>
      <c r="F23" s="129"/>
      <c r="G23" s="129"/>
      <c r="H23" s="129"/>
      <c r="I23" s="129"/>
    </row>
    <row r="24" spans="1:9" ht="14" customHeight="1" x14ac:dyDescent="0.45">
      <c r="A24" s="1" t="s">
        <v>48</v>
      </c>
      <c r="B24" s="128" t="s">
        <v>64</v>
      </c>
      <c r="C24" s="56">
        <v>17.456423499031626</v>
      </c>
      <c r="D24" s="128" t="s">
        <v>64</v>
      </c>
      <c r="E24" s="128" t="s">
        <v>64</v>
      </c>
      <c r="F24" s="60">
        <v>15.285655000691655</v>
      </c>
      <c r="G24" s="141" t="s">
        <v>64</v>
      </c>
      <c r="H24" s="56">
        <v>23.674961338394485</v>
      </c>
      <c r="I24" s="60">
        <v>4.6941874913709825</v>
      </c>
    </row>
    <row r="25" spans="1:9" ht="14" customHeight="1" x14ac:dyDescent="0.45">
      <c r="A25" s="98" t="s">
        <v>31</v>
      </c>
      <c r="B25" s="58">
        <v>-43.125</v>
      </c>
      <c r="C25" s="58">
        <v>4.3855641845591764</v>
      </c>
      <c r="D25" s="58">
        <v>10.309278350515472</v>
      </c>
      <c r="E25" s="139" t="s">
        <v>64</v>
      </c>
      <c r="F25" s="58">
        <v>7.1013557133634775</v>
      </c>
      <c r="G25" s="58">
        <v>-9.9086757990867298</v>
      </c>
      <c r="H25" s="58">
        <v>2.0961775585696563</v>
      </c>
      <c r="I25" s="58">
        <v>4.8476454293628901</v>
      </c>
    </row>
    <row r="26" spans="1:9" ht="14" customHeight="1" x14ac:dyDescent="0.45">
      <c r="A26" s="1" t="s">
        <v>32</v>
      </c>
      <c r="B26" s="60">
        <v>34.456233421750682</v>
      </c>
      <c r="C26" s="56">
        <v>70.942612308491306</v>
      </c>
      <c r="D26" s="128" t="s">
        <v>64</v>
      </c>
      <c r="E26" s="56">
        <v>32.045880149812731</v>
      </c>
      <c r="F26" s="56">
        <v>54.029957203994257</v>
      </c>
      <c r="G26" s="128" t="s">
        <v>64</v>
      </c>
      <c r="H26" s="56">
        <v>27.430555555555557</v>
      </c>
      <c r="I26" s="60">
        <v>55.712760277629478</v>
      </c>
    </row>
    <row r="27" spans="1:9" ht="14" customHeight="1" x14ac:dyDescent="0.45">
      <c r="A27" s="98" t="s">
        <v>33</v>
      </c>
      <c r="B27" s="139" t="s">
        <v>64</v>
      </c>
      <c r="C27" s="58">
        <v>-11.044534412955498</v>
      </c>
      <c r="D27" s="58">
        <v>1.5909416654722897</v>
      </c>
      <c r="E27" s="126" t="s">
        <v>64</v>
      </c>
      <c r="F27" s="63">
        <v>4.5445829338446986</v>
      </c>
      <c r="G27" s="126" t="s">
        <v>64</v>
      </c>
      <c r="H27" s="58">
        <v>13.061670001819214</v>
      </c>
      <c r="I27" s="58">
        <v>8.740617180984156</v>
      </c>
    </row>
    <row r="28" spans="1:9" ht="14" customHeight="1" x14ac:dyDescent="0.45">
      <c r="A28" s="1" t="s">
        <v>34</v>
      </c>
      <c r="B28" s="56">
        <v>19.639278557114224</v>
      </c>
      <c r="C28" s="56">
        <v>5.709342560553643</v>
      </c>
      <c r="D28" s="56">
        <v>-28.832318760376317</v>
      </c>
      <c r="E28" s="56">
        <v>15.249266862170053</v>
      </c>
      <c r="F28" s="60">
        <v>30.584551148225515</v>
      </c>
      <c r="G28" s="56">
        <v>-3.390742734122687</v>
      </c>
      <c r="H28" s="56">
        <v>-4.9372022520571379</v>
      </c>
      <c r="I28" s="56">
        <v>16.979269496544891</v>
      </c>
    </row>
    <row r="29" spans="1:9" ht="14" customHeight="1" x14ac:dyDescent="0.45">
      <c r="A29" s="98" t="s">
        <v>55</v>
      </c>
      <c r="B29" s="63">
        <v>78.416347381864597</v>
      </c>
      <c r="C29" s="63">
        <v>105.78635014836793</v>
      </c>
      <c r="D29" s="58">
        <v>62.506166748889981</v>
      </c>
      <c r="E29" s="58">
        <v>64.348142753095374</v>
      </c>
      <c r="F29" s="63">
        <v>153.98230088495572</v>
      </c>
      <c r="G29" s="63">
        <v>5.6292577984940584</v>
      </c>
      <c r="H29" s="58">
        <v>118.74999999999991</v>
      </c>
      <c r="I29" s="58">
        <v>101.58820192853098</v>
      </c>
    </row>
    <row r="30" spans="1:9" ht="14" customHeight="1" x14ac:dyDescent="0.45">
      <c r="A30" s="1" t="s">
        <v>35</v>
      </c>
      <c r="B30" s="56">
        <v>1.937608990505435E-2</v>
      </c>
      <c r="C30" s="56">
        <v>3.7116858237547845</v>
      </c>
      <c r="D30" s="56">
        <v>0.63365407181414923</v>
      </c>
      <c r="E30" s="56">
        <v>2.3183323592441019</v>
      </c>
      <c r="F30" s="56">
        <v>7.9475738984941646</v>
      </c>
      <c r="G30" s="56">
        <v>2.1354484441733046</v>
      </c>
      <c r="H30" s="56">
        <v>0.39567396465314264</v>
      </c>
      <c r="I30" s="56">
        <v>3.1979030144167808</v>
      </c>
    </row>
    <row r="31" spans="1:9" ht="14" customHeight="1" x14ac:dyDescent="0.45">
      <c r="A31" s="98" t="s">
        <v>36</v>
      </c>
      <c r="B31" s="58">
        <v>26.878208119458733</v>
      </c>
      <c r="C31" s="58">
        <v>78.633879781420688</v>
      </c>
      <c r="D31" s="58">
        <v>13.957703927492449</v>
      </c>
      <c r="E31" s="126" t="s">
        <v>64</v>
      </c>
      <c r="F31" s="63">
        <v>37.21804511278193</v>
      </c>
      <c r="G31" s="58">
        <v>52.934202726733815</v>
      </c>
      <c r="H31" s="58">
        <v>1.1288805268108826</v>
      </c>
      <c r="I31" s="58">
        <v>4.3654822335025711</v>
      </c>
    </row>
    <row r="32" spans="1:9" ht="14" customHeight="1" x14ac:dyDescent="0.45">
      <c r="A32" s="1" t="s">
        <v>37</v>
      </c>
      <c r="B32" s="64">
        <v>186.3670694864048</v>
      </c>
      <c r="C32" s="64">
        <v>290.92219020172899</v>
      </c>
      <c r="D32" s="56">
        <v>384.51503119682349</v>
      </c>
      <c r="E32" s="141" t="s">
        <v>64</v>
      </c>
      <c r="F32" s="56">
        <v>301.1060834590246</v>
      </c>
      <c r="G32" s="128" t="s">
        <v>64</v>
      </c>
      <c r="H32" s="56">
        <v>376</v>
      </c>
      <c r="I32" s="64">
        <v>284.34108527131787</v>
      </c>
    </row>
    <row r="33" spans="1:9" ht="14" customHeight="1" x14ac:dyDescent="0.45">
      <c r="A33" s="98" t="s">
        <v>51</v>
      </c>
      <c r="B33" s="126" t="s">
        <v>64</v>
      </c>
      <c r="C33" s="58">
        <v>30.50160085378868</v>
      </c>
      <c r="D33" s="58">
        <v>35.573122529644266</v>
      </c>
      <c r="E33" s="58">
        <v>26.003670566643745</v>
      </c>
      <c r="F33" s="58">
        <v>40.240673886883329</v>
      </c>
      <c r="G33" s="58">
        <v>18.289179699968106</v>
      </c>
      <c r="H33" s="58">
        <v>30.145553786672696</v>
      </c>
      <c r="I33" s="58">
        <v>39.481579263170552</v>
      </c>
    </row>
    <row r="34" spans="1:9" ht="14" customHeight="1" x14ac:dyDescent="0.45">
      <c r="A34" s="1" t="s">
        <v>38</v>
      </c>
      <c r="B34" s="60">
        <v>1.8994739918176462</v>
      </c>
      <c r="C34" s="56">
        <v>27.150701647345986</v>
      </c>
      <c r="D34" s="56">
        <v>16.968053044002438</v>
      </c>
      <c r="E34" s="128" t="s">
        <v>64</v>
      </c>
      <c r="F34" s="56">
        <v>9.5621090259160102</v>
      </c>
      <c r="G34" s="56">
        <v>-14.70516864838627</v>
      </c>
      <c r="H34" s="56">
        <v>0.8540372670807761</v>
      </c>
      <c r="I34" s="56">
        <v>10.38176325185387</v>
      </c>
    </row>
    <row r="35" spans="1:9" ht="14" customHeight="1" x14ac:dyDescent="0.45">
      <c r="A35" s="98" t="s">
        <v>39</v>
      </c>
      <c r="B35" s="58">
        <v>18.875780707841749</v>
      </c>
      <c r="C35" s="58">
        <v>23.328748280605225</v>
      </c>
      <c r="D35" s="58">
        <v>36.476333583771556</v>
      </c>
      <c r="E35" s="58">
        <v>20.876074299972291</v>
      </c>
      <c r="F35" s="58">
        <v>53.508771929824576</v>
      </c>
      <c r="G35" s="58">
        <v>2.226148409893991</v>
      </c>
      <c r="H35" s="58">
        <v>47.276119402985081</v>
      </c>
      <c r="I35" s="58">
        <v>26.937642009593567</v>
      </c>
    </row>
    <row r="36" spans="1:9" ht="14" customHeight="1" x14ac:dyDescent="0.45">
      <c r="A36" s="1" t="s">
        <v>57</v>
      </c>
      <c r="B36" s="128" t="s">
        <v>64</v>
      </c>
      <c r="C36" s="56">
        <v>-14.985754985754973</v>
      </c>
      <c r="D36" s="56">
        <v>-32.969215491559069</v>
      </c>
      <c r="E36" s="128" t="s">
        <v>64</v>
      </c>
      <c r="F36" s="143">
        <v>-27.721335268505044</v>
      </c>
      <c r="G36" s="60">
        <v>19.85138004246285</v>
      </c>
      <c r="H36" s="56">
        <v>-4.7960308710033424</v>
      </c>
      <c r="I36" s="56">
        <v>-1.990049751243772</v>
      </c>
    </row>
    <row r="37" spans="1:9" ht="14" customHeight="1" x14ac:dyDescent="0.45">
      <c r="A37" s="98" t="s">
        <v>56</v>
      </c>
      <c r="B37" s="139" t="s">
        <v>64</v>
      </c>
      <c r="C37" s="63">
        <v>-25.321667524446724</v>
      </c>
      <c r="D37" s="58">
        <v>-26.112759643916917</v>
      </c>
      <c r="E37" s="63">
        <v>-29.700390794615728</v>
      </c>
      <c r="F37" s="58">
        <v>-12.309955860716059</v>
      </c>
      <c r="G37" s="58">
        <v>-0.62680810028931111</v>
      </c>
      <c r="H37" s="58">
        <v>-0.30639601685180651</v>
      </c>
      <c r="I37" s="58">
        <v>-2.6065162907268014</v>
      </c>
    </row>
    <row r="38" spans="1:9" ht="14" customHeight="1" x14ac:dyDescent="0.45">
      <c r="A38" s="1" t="s">
        <v>40</v>
      </c>
      <c r="B38" s="56">
        <v>59.949832775919674</v>
      </c>
      <c r="C38" s="56">
        <v>74.616799509503394</v>
      </c>
      <c r="D38" s="56">
        <v>126.80339462517681</v>
      </c>
      <c r="E38" s="60">
        <v>81.525932276039441</v>
      </c>
      <c r="F38" s="60">
        <v>74.730354391371321</v>
      </c>
      <c r="G38" s="56">
        <v>44.43277310924374</v>
      </c>
      <c r="H38" s="60">
        <v>61.705617056170595</v>
      </c>
      <c r="I38" s="60">
        <v>72.417582417582409</v>
      </c>
    </row>
    <row r="39" spans="1:9" ht="14" customHeight="1" x14ac:dyDescent="0.45">
      <c r="A39" s="99" t="s">
        <v>41</v>
      </c>
      <c r="B39" s="62">
        <v>8.6496028243601142</v>
      </c>
      <c r="C39" s="62">
        <v>-1.926936973103166</v>
      </c>
      <c r="D39" s="62">
        <v>11.864406779661007</v>
      </c>
      <c r="E39" s="62">
        <v>-1.5057915057914761</v>
      </c>
      <c r="F39" s="62">
        <v>11.649580615097888</v>
      </c>
      <c r="G39" s="65">
        <v>14.597875569043994</v>
      </c>
      <c r="H39" s="62">
        <v>1.8537074148296195</v>
      </c>
      <c r="I39" s="62">
        <v>22.148288973384055</v>
      </c>
    </row>
    <row r="40" spans="1:9" ht="14" customHeight="1" x14ac:dyDescent="0.45">
      <c r="A40" s="55" t="s">
        <v>42</v>
      </c>
      <c r="B40" s="129"/>
      <c r="C40" s="129"/>
      <c r="D40" s="129"/>
      <c r="E40" s="129"/>
      <c r="F40" s="129"/>
      <c r="G40" s="129"/>
      <c r="H40" s="129"/>
      <c r="I40" s="129"/>
    </row>
    <row r="41" spans="1:9" ht="14" customHeight="1" x14ac:dyDescent="0.45">
      <c r="A41" s="1" t="s">
        <v>43</v>
      </c>
      <c r="B41" s="141" t="s">
        <v>64</v>
      </c>
      <c r="C41" s="56">
        <v>-20.479354532510662</v>
      </c>
      <c r="D41" s="56">
        <v>2.0372010628875392</v>
      </c>
      <c r="E41" s="141" t="s">
        <v>64</v>
      </c>
      <c r="F41" s="56">
        <v>-12.359830550710216</v>
      </c>
      <c r="G41" s="56">
        <v>-1.0334054313867247</v>
      </c>
      <c r="H41" s="56">
        <v>-52.377065904917352</v>
      </c>
      <c r="I41" s="60">
        <v>1.4156416802042493</v>
      </c>
    </row>
    <row r="42" spans="1:9" ht="14" customHeight="1" x14ac:dyDescent="0.45">
      <c r="A42" s="98" t="s">
        <v>44</v>
      </c>
      <c r="B42" s="58">
        <v>-15.042573320719033</v>
      </c>
      <c r="C42" s="58">
        <v>-6.5505804311774547</v>
      </c>
      <c r="D42" s="58">
        <v>-10.479422995333076</v>
      </c>
      <c r="E42" s="58">
        <v>-18.944231587909744</v>
      </c>
      <c r="F42" s="58">
        <v>-11.129229514879723</v>
      </c>
      <c r="G42" s="63">
        <v>-22.733077905491694</v>
      </c>
      <c r="H42" s="58">
        <v>-17.923940149625938</v>
      </c>
      <c r="I42" s="58">
        <v>-13.136601618277</v>
      </c>
    </row>
    <row r="43" spans="1:9" ht="14" customHeight="1" x14ac:dyDescent="0.45">
      <c r="A43" s="1" t="s">
        <v>52</v>
      </c>
      <c r="B43" s="60">
        <v>4.0540540540540571</v>
      </c>
      <c r="C43" s="56">
        <v>-6.9670998064694345</v>
      </c>
      <c r="D43" s="56">
        <v>17.490805067429484</v>
      </c>
      <c r="E43" s="56">
        <v>-1.3284341435839564</v>
      </c>
      <c r="F43" s="56">
        <v>-7.0508474576271301</v>
      </c>
      <c r="G43" s="56">
        <v>0.38327526132408973</v>
      </c>
      <c r="H43" s="56">
        <v>-17.595307917888569</v>
      </c>
      <c r="I43" s="56">
        <v>-5.7020435069215498</v>
      </c>
    </row>
    <row r="44" spans="1:9" ht="14" customHeight="1" x14ac:dyDescent="0.45">
      <c r="A44" s="98" t="s">
        <v>45</v>
      </c>
      <c r="B44" s="58">
        <v>-7.9651337541328582</v>
      </c>
      <c r="C44" s="58">
        <v>-38.352402745995427</v>
      </c>
      <c r="D44" s="58">
        <v>-33.43077886823972</v>
      </c>
      <c r="E44" s="58">
        <v>-30.277517929529129</v>
      </c>
      <c r="F44" s="58">
        <v>-25.607476635514015</v>
      </c>
      <c r="G44" s="58">
        <v>-35.046728971962594</v>
      </c>
      <c r="H44" s="58">
        <v>-33.190648666447153</v>
      </c>
      <c r="I44" s="58">
        <v>-29.893373952779889</v>
      </c>
    </row>
    <row r="45" spans="1:9" ht="14" customHeight="1" x14ac:dyDescent="0.45">
      <c r="A45" s="100" t="s">
        <v>46</v>
      </c>
      <c r="B45" s="67">
        <v>-10.778443113772463</v>
      </c>
      <c r="C45" s="67">
        <v>-39.378238341968895</v>
      </c>
      <c r="D45" s="67">
        <v>-28.160391796755423</v>
      </c>
      <c r="E45" s="67">
        <v>-2.4699599465954569</v>
      </c>
      <c r="F45" s="67">
        <v>-52.611150317572331</v>
      </c>
      <c r="G45" s="67">
        <v>-30.204197390811139</v>
      </c>
      <c r="H45" s="67">
        <v>-35.920000000000016</v>
      </c>
      <c r="I45" s="67">
        <v>-52.033711982411155</v>
      </c>
    </row>
    <row r="46" spans="1:9" x14ac:dyDescent="0.45">
      <c r="A46" s="48"/>
      <c r="B46" s="56"/>
      <c r="C46" s="56"/>
      <c r="D46" s="56"/>
      <c r="E46" s="56"/>
      <c r="F46" s="56"/>
      <c r="G46" s="56"/>
      <c r="H46" s="56"/>
      <c r="I46" s="56"/>
    </row>
    <row r="47" spans="1:9" x14ac:dyDescent="0.45">
      <c r="A47" s="68" t="s">
        <v>12</v>
      </c>
      <c r="B47" s="69"/>
      <c r="C47" s="70"/>
      <c r="D47" s="70"/>
      <c r="E47" s="69"/>
      <c r="F47" s="70"/>
      <c r="G47" s="70"/>
      <c r="H47" s="70"/>
      <c r="I47" s="70"/>
    </row>
    <row r="48" spans="1:9" x14ac:dyDescent="0.45">
      <c r="A48" s="71" t="s">
        <v>54</v>
      </c>
      <c r="B48" s="71"/>
      <c r="C48" s="71"/>
      <c r="D48" s="71"/>
      <c r="E48" s="71"/>
      <c r="F48" s="71"/>
      <c r="G48" s="71"/>
      <c r="H48" s="71"/>
      <c r="I48" s="71"/>
    </row>
    <row r="49" spans="1:9" x14ac:dyDescent="0.45">
      <c r="A49" s="72" t="s">
        <v>14</v>
      </c>
      <c r="B49" s="69"/>
      <c r="C49" s="70"/>
      <c r="D49" s="70"/>
      <c r="E49" s="69"/>
      <c r="F49" s="70"/>
      <c r="G49" s="70"/>
      <c r="H49" s="70"/>
      <c r="I49" s="70"/>
    </row>
    <row r="50" spans="1:9" x14ac:dyDescent="0.45">
      <c r="A50" s="73" t="s">
        <v>15</v>
      </c>
      <c r="B50" s="74"/>
      <c r="C50" s="74"/>
      <c r="D50" s="74"/>
      <c r="E50" s="74"/>
      <c r="F50" s="74"/>
      <c r="G50" s="74"/>
      <c r="H50" s="74"/>
      <c r="I50" s="74"/>
    </row>
    <row r="51" spans="1:9" x14ac:dyDescent="0.45">
      <c r="A51" s="73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5" t="str">
        <f>+Índice!A14</f>
        <v>Fecha de actualización: 9 de noviembre de 2023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3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3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3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5B01-133B-4735-A10B-A521B9ED8989}">
  <dimension ref="A1:I55"/>
  <sheetViews>
    <sheetView showGridLines="0" topLeftCell="A30" workbookViewId="0">
      <selection activeCell="F47" sqref="F47"/>
    </sheetView>
  </sheetViews>
  <sheetFormatPr baseColWidth="10" defaultColWidth="11.453125" defaultRowHeight="16" x14ac:dyDescent="0.45"/>
  <cols>
    <col min="1" max="1" width="24.453125" style="54" customWidth="1"/>
    <col min="2" max="2" width="12" style="54" bestFit="1" customWidth="1"/>
    <col min="3" max="3" width="9.453125" style="54" customWidth="1"/>
    <col min="4" max="4" width="13.54296875" style="54" bestFit="1" customWidth="1"/>
    <col min="5" max="5" width="12" style="54" customWidth="1"/>
    <col min="6" max="6" width="10.26953125" style="54" customWidth="1"/>
    <col min="7" max="7" width="9.453125" style="54" customWidth="1"/>
    <col min="8" max="8" width="10.54296875" style="54" customWidth="1"/>
    <col min="9" max="9" width="9.26953125" style="54" customWidth="1"/>
    <col min="10" max="16384" width="11.453125" style="54"/>
  </cols>
  <sheetData>
    <row r="1" spans="1:9" s="48" customFormat="1" ht="18.5" customHeight="1" x14ac:dyDescent="0.4"/>
    <row r="2" spans="1:9" s="48" customFormat="1" ht="33" customHeight="1" x14ac:dyDescent="0.4"/>
    <row r="3" spans="1:9" s="48" customFormat="1" ht="19" customHeight="1" x14ac:dyDescent="0.4"/>
    <row r="4" spans="1:9" s="48" customFormat="1" ht="18.75" customHeight="1" x14ac:dyDescent="0.4">
      <c r="A4" s="164" t="s">
        <v>0</v>
      </c>
      <c r="B4" s="164"/>
      <c r="C4" s="164"/>
      <c r="D4" s="164"/>
      <c r="E4" s="164"/>
      <c r="F4" s="164"/>
      <c r="G4" s="164"/>
      <c r="H4" s="164"/>
      <c r="I4" s="164"/>
    </row>
    <row r="5" spans="1:9" s="48" customFormat="1" ht="27.75" customHeight="1" x14ac:dyDescent="0.4">
      <c r="A5" s="164"/>
      <c r="B5" s="164"/>
      <c r="C5" s="164"/>
      <c r="D5" s="164"/>
      <c r="E5" s="164"/>
      <c r="F5" s="164"/>
      <c r="G5" s="164"/>
      <c r="H5" s="164"/>
      <c r="I5" s="164"/>
    </row>
    <row r="6" spans="1:9" s="48" customFormat="1" ht="18.75" customHeight="1" x14ac:dyDescent="0.4">
      <c r="A6" s="49" t="s">
        <v>16</v>
      </c>
      <c r="B6" s="50"/>
      <c r="C6" s="50"/>
      <c r="D6" s="50"/>
      <c r="E6" s="50"/>
      <c r="F6" s="50"/>
      <c r="G6" s="50"/>
      <c r="H6" s="50"/>
      <c r="I6" s="50"/>
    </row>
    <row r="7" spans="1:9" s="48" customFormat="1" ht="15" customHeight="1" x14ac:dyDescent="0.4">
      <c r="A7" s="49" t="s">
        <v>62</v>
      </c>
      <c r="B7" s="50"/>
      <c r="C7" s="50"/>
      <c r="D7" s="50"/>
      <c r="E7" s="50"/>
      <c r="F7" s="50"/>
      <c r="G7" s="50"/>
      <c r="H7" s="50"/>
      <c r="I7" s="50"/>
    </row>
    <row r="8" spans="1:9" s="48" customFormat="1" ht="14" x14ac:dyDescent="0.4"/>
    <row r="9" spans="1:9" x14ac:dyDescent="0.45">
      <c r="A9" s="51" t="s">
        <v>50</v>
      </c>
      <c r="B9" s="76" t="s">
        <v>2</v>
      </c>
      <c r="C9" s="76" t="s">
        <v>3</v>
      </c>
      <c r="D9" s="76" t="s">
        <v>4</v>
      </c>
      <c r="E9" s="77" t="s">
        <v>5</v>
      </c>
      <c r="F9" s="76" t="s">
        <v>6</v>
      </c>
      <c r="G9" s="76" t="s">
        <v>7</v>
      </c>
      <c r="H9" s="76" t="s">
        <v>8</v>
      </c>
      <c r="I9" s="76" t="s">
        <v>9</v>
      </c>
    </row>
    <row r="10" spans="1:9" ht="14" customHeight="1" x14ac:dyDescent="0.45">
      <c r="A10" s="55" t="s">
        <v>17</v>
      </c>
      <c r="B10" s="55"/>
      <c r="C10" s="55"/>
      <c r="D10" s="55"/>
      <c r="E10" s="55"/>
      <c r="F10" s="55"/>
      <c r="G10" s="55"/>
      <c r="H10" s="55"/>
      <c r="I10" s="55"/>
    </row>
    <row r="11" spans="1:9" ht="14" customHeight="1" x14ac:dyDescent="0.45">
      <c r="A11" s="48" t="s">
        <v>18</v>
      </c>
      <c r="B11" s="128" t="s">
        <v>64</v>
      </c>
      <c r="C11" s="56">
        <v>-9.3983484073928416</v>
      </c>
      <c r="D11" s="56">
        <v>4.8348106365833976</v>
      </c>
      <c r="E11" s="128" t="s">
        <v>64</v>
      </c>
      <c r="F11" s="56">
        <v>-27.464788732394339</v>
      </c>
      <c r="G11" s="56">
        <v>-11.323076923076913</v>
      </c>
      <c r="H11" s="56">
        <v>-21.428571428571431</v>
      </c>
      <c r="I11" s="56">
        <v>-0.76832151300237905</v>
      </c>
    </row>
    <row r="12" spans="1:9" ht="14" customHeight="1" x14ac:dyDescent="0.45">
      <c r="A12" s="57" t="s">
        <v>19</v>
      </c>
      <c r="B12" s="58">
        <v>9.8465614306214597</v>
      </c>
      <c r="C12" s="58">
        <v>-47.157238054728502</v>
      </c>
      <c r="D12" s="58">
        <v>-25.557357113903535</v>
      </c>
      <c r="E12" s="139" t="s">
        <v>64</v>
      </c>
      <c r="F12" s="58">
        <v>-44.355312072001581</v>
      </c>
      <c r="G12" s="58">
        <v>-10.647299393597532</v>
      </c>
      <c r="H12" s="58">
        <v>-44.453392389772496</v>
      </c>
      <c r="I12" s="126" t="s">
        <v>64</v>
      </c>
    </row>
    <row r="13" spans="1:9" ht="14" customHeight="1" x14ac:dyDescent="0.45">
      <c r="A13" s="48" t="s">
        <v>20</v>
      </c>
      <c r="B13" s="56">
        <v>-19.40587665482726</v>
      </c>
      <c r="C13" s="56">
        <v>-31.374643874643894</v>
      </c>
      <c r="D13" s="56">
        <v>-9.5138160195872619</v>
      </c>
      <c r="E13" s="56">
        <v>-24.485922176526419</v>
      </c>
      <c r="F13" s="56">
        <v>-26.545807704758829</v>
      </c>
      <c r="G13" s="56">
        <v>-29.927726675427081</v>
      </c>
      <c r="H13" s="56">
        <v>-29.078476066427882</v>
      </c>
      <c r="I13" s="56">
        <v>-25.36764705882354</v>
      </c>
    </row>
    <row r="14" spans="1:9" ht="14" customHeight="1" x14ac:dyDescent="0.45">
      <c r="A14" s="57" t="s">
        <v>21</v>
      </c>
      <c r="B14" s="59">
        <v>12.160356347438771</v>
      </c>
      <c r="C14" s="58">
        <v>5.2880481513327693</v>
      </c>
      <c r="D14" s="58">
        <v>2.8586013272077659</v>
      </c>
      <c r="E14" s="140">
        <v>13.896353166986565</v>
      </c>
      <c r="F14" s="63">
        <v>17.950202663578473</v>
      </c>
      <c r="G14" s="58">
        <v>-7.0349386213409026</v>
      </c>
      <c r="H14" s="58">
        <v>-46.642165051787501</v>
      </c>
      <c r="I14" s="58">
        <v>58.713136729222541</v>
      </c>
    </row>
    <row r="15" spans="1:9" ht="14" customHeight="1" x14ac:dyDescent="0.45">
      <c r="A15" s="48" t="s">
        <v>22</v>
      </c>
      <c r="B15" s="128" t="s">
        <v>64</v>
      </c>
      <c r="C15" s="56">
        <v>-24.171428571428578</v>
      </c>
      <c r="D15" s="56">
        <v>-6.9422776911076678</v>
      </c>
      <c r="E15" s="56">
        <v>-35.510428100987937</v>
      </c>
      <c r="F15" s="56">
        <v>34.309895833333329</v>
      </c>
      <c r="G15" s="56">
        <v>0.1387925052047434</v>
      </c>
      <c r="H15" s="56">
        <v>-2.2788203753351111</v>
      </c>
      <c r="I15" s="141" t="s">
        <v>64</v>
      </c>
    </row>
    <row r="16" spans="1:9" ht="14" customHeight="1" x14ac:dyDescent="0.45">
      <c r="A16" s="57" t="s">
        <v>23</v>
      </c>
      <c r="B16" s="58">
        <v>34.270910436713507</v>
      </c>
      <c r="C16" s="58">
        <v>46.755059316120025</v>
      </c>
      <c r="D16" s="58">
        <v>31.712208573577307</v>
      </c>
      <c r="E16" s="58">
        <v>21.608154020385072</v>
      </c>
      <c r="F16" s="58">
        <v>74.023581429624173</v>
      </c>
      <c r="G16" s="58">
        <v>32.615384615384627</v>
      </c>
      <c r="H16" s="58">
        <v>-17.618270799347478</v>
      </c>
      <c r="I16" s="58">
        <v>42.390289449112984</v>
      </c>
    </row>
    <row r="17" spans="1:9" ht="14" customHeight="1" x14ac:dyDescent="0.45">
      <c r="A17" s="48" t="s">
        <v>24</v>
      </c>
      <c r="B17" s="56">
        <v>-5.5767397521449213</v>
      </c>
      <c r="C17" s="56">
        <v>14.833948339483371</v>
      </c>
      <c r="D17" s="56">
        <v>-36.390243902439003</v>
      </c>
      <c r="E17" s="56">
        <v>-2.518891687657443</v>
      </c>
      <c r="F17" s="56">
        <v>7.2429906542055944</v>
      </c>
      <c r="G17" s="56">
        <v>-22.694610778443113</v>
      </c>
      <c r="H17" s="56">
        <v>-8.8845014807502167</v>
      </c>
      <c r="I17" s="56">
        <v>4.0322580645161255</v>
      </c>
    </row>
    <row r="18" spans="1:9" ht="14" customHeight="1" x14ac:dyDescent="0.45">
      <c r="A18" s="57" t="s">
        <v>25</v>
      </c>
      <c r="B18" s="58">
        <v>48.646431501230516</v>
      </c>
      <c r="C18" s="58">
        <v>46.906693711967471</v>
      </c>
      <c r="D18" s="58">
        <v>25.869894099848743</v>
      </c>
      <c r="E18" s="58">
        <v>30.235602094240875</v>
      </c>
      <c r="F18" s="58">
        <v>67.105263157894782</v>
      </c>
      <c r="G18" s="58">
        <v>98.322147651006645</v>
      </c>
      <c r="H18" s="58">
        <v>95.630252100840323</v>
      </c>
      <c r="I18" s="58">
        <v>70.331950207468893</v>
      </c>
    </row>
    <row r="19" spans="1:9" ht="14" customHeight="1" x14ac:dyDescent="0.45">
      <c r="A19" s="48" t="s">
        <v>26</v>
      </c>
      <c r="B19" s="56">
        <v>50.586113615870133</v>
      </c>
      <c r="C19" s="56">
        <v>40.150093808630416</v>
      </c>
      <c r="D19" s="56">
        <v>43.377954998575859</v>
      </c>
      <c r="E19" s="56">
        <v>37.113402061855602</v>
      </c>
      <c r="F19" s="56">
        <v>58.870564717641201</v>
      </c>
      <c r="G19" s="56">
        <v>43.405088062622291</v>
      </c>
      <c r="H19" s="56">
        <v>87.09876543209883</v>
      </c>
      <c r="I19" s="56">
        <v>31.072026800670095</v>
      </c>
    </row>
    <row r="20" spans="1:9" ht="14" customHeight="1" x14ac:dyDescent="0.45">
      <c r="A20" s="57" t="s">
        <v>27</v>
      </c>
      <c r="B20" s="58">
        <v>-57.660083782166382</v>
      </c>
      <c r="C20" s="58">
        <v>-68.654336734693871</v>
      </c>
      <c r="D20" s="58">
        <v>-68.04195804195804</v>
      </c>
      <c r="E20" s="58">
        <v>-56.284793436859047</v>
      </c>
      <c r="F20" s="58">
        <v>-62.252226371732263</v>
      </c>
      <c r="G20" s="58">
        <v>-66.980108499095834</v>
      </c>
      <c r="H20" s="58">
        <v>-64.148303602658288</v>
      </c>
      <c r="I20" s="142">
        <v>-61.376623376623385</v>
      </c>
    </row>
    <row r="21" spans="1:9" ht="14" customHeight="1" x14ac:dyDescent="0.45">
      <c r="A21" s="48" t="s">
        <v>28</v>
      </c>
      <c r="B21" s="56">
        <v>74.684608915054724</v>
      </c>
      <c r="C21" s="56">
        <v>91.541807636539389</v>
      </c>
      <c r="D21" s="56">
        <v>103.54737314773237</v>
      </c>
      <c r="E21" s="60">
        <v>74.298141557927948</v>
      </c>
      <c r="F21" s="60">
        <v>110.69958847736623</v>
      </c>
      <c r="G21" s="60">
        <v>123.41413099535843</v>
      </c>
      <c r="H21" s="56">
        <v>113.41288782816234</v>
      </c>
      <c r="I21" s="56">
        <v>118.54917234664074</v>
      </c>
    </row>
    <row r="22" spans="1:9" ht="14" customHeight="1" x14ac:dyDescent="0.45">
      <c r="A22" s="61" t="s">
        <v>29</v>
      </c>
      <c r="B22" s="65">
        <v>-0.7945516458569668</v>
      </c>
      <c r="C22" s="62">
        <v>-20.05464480874317</v>
      </c>
      <c r="D22" s="62">
        <v>-14.484679665738165</v>
      </c>
      <c r="E22" s="62">
        <v>-5.0214329454990825</v>
      </c>
      <c r="F22" s="62">
        <v>-12.392108508014799</v>
      </c>
      <c r="G22" s="62">
        <v>3.13613684960794</v>
      </c>
      <c r="H22" s="62">
        <v>-52.746113989637301</v>
      </c>
      <c r="I22" s="82">
        <v>-15.958668197474179</v>
      </c>
    </row>
    <row r="23" spans="1:9" ht="14" customHeight="1" x14ac:dyDescent="0.45">
      <c r="A23" s="55" t="s">
        <v>30</v>
      </c>
      <c r="B23" s="129"/>
      <c r="C23" s="129"/>
      <c r="D23" s="129"/>
      <c r="E23" s="129"/>
      <c r="F23" s="129"/>
      <c r="G23" s="129"/>
      <c r="H23" s="129"/>
      <c r="I23" s="129"/>
    </row>
    <row r="24" spans="1:9" ht="14" customHeight="1" x14ac:dyDescent="0.45">
      <c r="A24" s="1" t="s">
        <v>48</v>
      </c>
      <c r="B24" s="128" t="s">
        <v>64</v>
      </c>
      <c r="C24" s="56">
        <v>42.742821277263431</v>
      </c>
      <c r="D24" s="128" t="s">
        <v>64</v>
      </c>
      <c r="E24" s="128" t="s">
        <v>64</v>
      </c>
      <c r="F24" s="60">
        <v>40.208613728129208</v>
      </c>
      <c r="G24" s="141" t="s">
        <v>64</v>
      </c>
      <c r="H24" s="56">
        <v>40.325410751315971</v>
      </c>
      <c r="I24" s="60">
        <v>27.039705143240056</v>
      </c>
    </row>
    <row r="25" spans="1:9" ht="14" customHeight="1" x14ac:dyDescent="0.45">
      <c r="A25" s="98" t="s">
        <v>31</v>
      </c>
      <c r="B25" s="58">
        <v>-24.793388429752085</v>
      </c>
      <c r="C25" s="58">
        <v>4.4332723948811825</v>
      </c>
      <c r="D25" s="58">
        <v>13.195991091314042</v>
      </c>
      <c r="E25" s="139" t="s">
        <v>64</v>
      </c>
      <c r="F25" s="58">
        <v>9.2165898617511566</v>
      </c>
      <c r="G25" s="58">
        <v>-7.6310861423220855</v>
      </c>
      <c r="H25" s="58">
        <v>6.8387096774193301</v>
      </c>
      <c r="I25" s="58">
        <v>10.109090909090913</v>
      </c>
    </row>
    <row r="26" spans="1:9" ht="14" customHeight="1" x14ac:dyDescent="0.45">
      <c r="A26" s="1" t="s">
        <v>32</v>
      </c>
      <c r="B26" s="60">
        <v>30.308483290488432</v>
      </c>
      <c r="C26" s="56">
        <v>70.987012987013003</v>
      </c>
      <c r="D26" s="128" t="s">
        <v>64</v>
      </c>
      <c r="E26" s="56">
        <v>37.384315635655142</v>
      </c>
      <c r="F26" s="56">
        <v>61.457943925233629</v>
      </c>
      <c r="G26" s="128" t="s">
        <v>64</v>
      </c>
      <c r="H26" s="56">
        <v>63.966588966588979</v>
      </c>
      <c r="I26" s="60">
        <v>85.82351067218859</v>
      </c>
    </row>
    <row r="27" spans="1:9" ht="14" customHeight="1" x14ac:dyDescent="0.45">
      <c r="A27" s="98" t="s">
        <v>33</v>
      </c>
      <c r="B27" s="139" t="s">
        <v>64</v>
      </c>
      <c r="C27" s="58">
        <v>-8.5566838688197482</v>
      </c>
      <c r="D27" s="58">
        <v>1.3440091507006313</v>
      </c>
      <c r="E27" s="126" t="s">
        <v>64</v>
      </c>
      <c r="F27" s="63">
        <v>-8.0141724312468234</v>
      </c>
      <c r="G27" s="126" t="s">
        <v>64</v>
      </c>
      <c r="H27" s="58">
        <v>7.1551724137931316</v>
      </c>
      <c r="I27" s="58">
        <v>2.2107243650047126</v>
      </c>
    </row>
    <row r="28" spans="1:9" ht="14" customHeight="1" x14ac:dyDescent="0.45">
      <c r="A28" s="1" t="s">
        <v>34</v>
      </c>
      <c r="B28" s="56">
        <v>25.50805886475127</v>
      </c>
      <c r="C28" s="56">
        <v>6.6317626527050644</v>
      </c>
      <c r="D28" s="56">
        <v>28.087649402390436</v>
      </c>
      <c r="E28" s="56">
        <v>24.938184387142325</v>
      </c>
      <c r="F28" s="60">
        <v>45.549738219895318</v>
      </c>
      <c r="G28" s="56">
        <v>13.463969658659924</v>
      </c>
      <c r="H28" s="56">
        <v>6.6051481301602877</v>
      </c>
      <c r="I28" s="56">
        <v>40.402843601895697</v>
      </c>
    </row>
    <row r="29" spans="1:9" ht="14" customHeight="1" x14ac:dyDescent="0.45">
      <c r="A29" s="98" t="s">
        <v>55</v>
      </c>
      <c r="B29" s="63">
        <v>10.260457774269938</v>
      </c>
      <c r="C29" s="63">
        <v>19.192208536236024</v>
      </c>
      <c r="D29" s="58">
        <v>-2.313167259786475</v>
      </c>
      <c r="E29" s="58">
        <v>14.13758219524528</v>
      </c>
      <c r="F29" s="63">
        <v>-0.37604859704947202</v>
      </c>
      <c r="G29" s="63">
        <v>-26.368407898025513</v>
      </c>
      <c r="H29" s="58">
        <v>-6.3492063492063933</v>
      </c>
      <c r="I29" s="58">
        <v>-11.614026361601582</v>
      </c>
    </row>
    <row r="30" spans="1:9" ht="14" customHeight="1" x14ac:dyDescent="0.45">
      <c r="A30" s="1" t="s">
        <v>35</v>
      </c>
      <c r="B30" s="56">
        <v>-10.800069120442391</v>
      </c>
      <c r="C30" s="56">
        <v>-6.3972336287011045</v>
      </c>
      <c r="D30" s="56">
        <v>-8.9403270333404006</v>
      </c>
      <c r="E30" s="56">
        <v>-5.0786191939273362</v>
      </c>
      <c r="F30" s="56">
        <v>-10.64173591874421</v>
      </c>
      <c r="G30" s="56">
        <v>-15.011000169233347</v>
      </c>
      <c r="H30" s="56">
        <v>-10.172291715836668</v>
      </c>
      <c r="I30" s="56">
        <v>-9.3901035673187643</v>
      </c>
    </row>
    <row r="31" spans="1:9" ht="14" customHeight="1" x14ac:dyDescent="0.45">
      <c r="A31" s="98" t="s">
        <v>36</v>
      </c>
      <c r="B31" s="58">
        <v>12.123711340206222</v>
      </c>
      <c r="C31" s="58">
        <v>16.875223453700361</v>
      </c>
      <c r="D31" s="58">
        <v>0.15932023366966863</v>
      </c>
      <c r="E31" s="126" t="s">
        <v>64</v>
      </c>
      <c r="F31" s="63">
        <v>33.455210237659941</v>
      </c>
      <c r="G31" s="58">
        <v>-3.7313432835820892</v>
      </c>
      <c r="H31" s="58">
        <v>-12.566083773891833</v>
      </c>
      <c r="I31" s="58">
        <v>3.4205231388330315</v>
      </c>
    </row>
    <row r="32" spans="1:9" ht="14" customHeight="1" x14ac:dyDescent="0.45">
      <c r="A32" s="1" t="s">
        <v>37</v>
      </c>
      <c r="B32" s="64">
        <v>15.17314702308623</v>
      </c>
      <c r="C32" s="64">
        <v>46.992956474625203</v>
      </c>
      <c r="D32" s="56">
        <v>77.958333333333258</v>
      </c>
      <c r="E32" s="141" t="s">
        <v>64</v>
      </c>
      <c r="F32" s="56">
        <v>69.312393887945674</v>
      </c>
      <c r="G32" s="128" t="s">
        <v>64</v>
      </c>
      <c r="H32" s="56">
        <v>78.169524269500059</v>
      </c>
      <c r="I32" s="64">
        <v>63.450549450549467</v>
      </c>
    </row>
    <row r="33" spans="1:9" ht="14" customHeight="1" x14ac:dyDescent="0.45">
      <c r="A33" s="98" t="s">
        <v>51</v>
      </c>
      <c r="B33" s="126" t="s">
        <v>64</v>
      </c>
      <c r="C33" s="58">
        <v>43.302472752841894</v>
      </c>
      <c r="D33" s="58">
        <v>41.629129129129126</v>
      </c>
      <c r="E33" s="58">
        <v>32.445141065830761</v>
      </c>
      <c r="F33" s="58">
        <v>62.51568818853719</v>
      </c>
      <c r="G33" s="58">
        <v>31.32530120481929</v>
      </c>
      <c r="H33" s="58">
        <v>43.25948178745773</v>
      </c>
      <c r="I33" s="58">
        <v>45.999246325838513</v>
      </c>
    </row>
    <row r="34" spans="1:9" ht="14" customHeight="1" x14ac:dyDescent="0.45">
      <c r="A34" s="1" t="s">
        <v>38</v>
      </c>
      <c r="B34" s="60">
        <v>1.1310904872389838</v>
      </c>
      <c r="C34" s="56">
        <v>22.660388463802295</v>
      </c>
      <c r="D34" s="56">
        <v>16.756919374247925</v>
      </c>
      <c r="E34" s="128" t="s">
        <v>64</v>
      </c>
      <c r="F34" s="56">
        <v>1.016204339467186</v>
      </c>
      <c r="G34" s="56">
        <v>-14.310092637737636</v>
      </c>
      <c r="H34" s="56">
        <v>-7.2474116387004521</v>
      </c>
      <c r="I34" s="56">
        <v>2.9456967213114638</v>
      </c>
    </row>
    <row r="35" spans="1:9" ht="14" customHeight="1" x14ac:dyDescent="0.45">
      <c r="A35" s="98" t="s">
        <v>39</v>
      </c>
      <c r="B35" s="58">
        <v>22.590648854961803</v>
      </c>
      <c r="C35" s="58">
        <v>15.066735112936346</v>
      </c>
      <c r="D35" s="58">
        <v>30.028632784538246</v>
      </c>
      <c r="E35" s="58">
        <v>15.957446808510657</v>
      </c>
      <c r="F35" s="58">
        <v>53.56058049274386</v>
      </c>
      <c r="G35" s="58">
        <v>-6.3147668393782492</v>
      </c>
      <c r="H35" s="58">
        <v>69.836488812392417</v>
      </c>
      <c r="I35" s="58">
        <v>30.157908361377196</v>
      </c>
    </row>
    <row r="36" spans="1:9" ht="14" customHeight="1" x14ac:dyDescent="0.45">
      <c r="A36" s="1" t="s">
        <v>57</v>
      </c>
      <c r="B36" s="128" t="s">
        <v>64</v>
      </c>
      <c r="C36" s="56">
        <v>-4.297626683771627</v>
      </c>
      <c r="D36" s="56">
        <v>2.7397260273972934</v>
      </c>
      <c r="E36" s="128" t="s">
        <v>64</v>
      </c>
      <c r="F36" s="143">
        <v>-15.089514066496124</v>
      </c>
      <c r="G36" s="60">
        <v>-5.1260504201680597</v>
      </c>
      <c r="H36" s="56">
        <v>-3.5734226689000725</v>
      </c>
      <c r="I36" s="56">
        <v>7.6502732240437243</v>
      </c>
    </row>
    <row r="37" spans="1:9" ht="14" customHeight="1" x14ac:dyDescent="0.45">
      <c r="A37" s="98" t="s">
        <v>56</v>
      </c>
      <c r="B37" s="139" t="s">
        <v>64</v>
      </c>
      <c r="C37" s="63">
        <v>-29.869502174963735</v>
      </c>
      <c r="D37" s="58">
        <v>-14.383954154727785</v>
      </c>
      <c r="E37" s="63">
        <v>-7.3798627002288448</v>
      </c>
      <c r="F37" s="58">
        <v>-20.000000000000018</v>
      </c>
      <c r="G37" s="58">
        <v>4.4602128737962321</v>
      </c>
      <c r="H37" s="58">
        <v>-6.9360028602073909</v>
      </c>
      <c r="I37" s="58">
        <v>-7.1223709369024775</v>
      </c>
    </row>
    <row r="38" spans="1:9" ht="14" customHeight="1" x14ac:dyDescent="0.45">
      <c r="A38" s="1" t="s">
        <v>40</v>
      </c>
      <c r="B38" s="56">
        <v>100.73452256033573</v>
      </c>
      <c r="C38" s="56">
        <v>84.217335058214744</v>
      </c>
      <c r="D38" s="56">
        <v>142.40362811791383</v>
      </c>
      <c r="E38" s="60">
        <v>72.857142857142861</v>
      </c>
      <c r="F38" s="60">
        <v>40.057636887608062</v>
      </c>
      <c r="G38" s="56">
        <v>71.126322339763618</v>
      </c>
      <c r="H38" s="60">
        <v>43.261896113330934</v>
      </c>
      <c r="I38" s="60">
        <v>66.619469026548629</v>
      </c>
    </row>
    <row r="39" spans="1:9" ht="14" customHeight="1" x14ac:dyDescent="0.45">
      <c r="A39" s="99" t="s">
        <v>41</v>
      </c>
      <c r="B39" s="62">
        <v>-13.674614305750355</v>
      </c>
      <c r="C39" s="62">
        <v>-23.392913138915016</v>
      </c>
      <c r="D39" s="62">
        <v>-14.95422177009158</v>
      </c>
      <c r="E39" s="62">
        <v>-19.374209860935498</v>
      </c>
      <c r="F39" s="62">
        <v>-10.8630952380952</v>
      </c>
      <c r="G39" s="65">
        <v>5.063995548135769</v>
      </c>
      <c r="H39" s="62">
        <v>-23.743435858964766</v>
      </c>
      <c r="I39" s="62">
        <v>-15.516107823800118</v>
      </c>
    </row>
    <row r="40" spans="1:9" ht="14" customHeight="1" x14ac:dyDescent="0.45">
      <c r="A40" s="55" t="s">
        <v>42</v>
      </c>
      <c r="B40" s="129"/>
      <c r="C40" s="129"/>
      <c r="D40" s="129"/>
      <c r="E40" s="129"/>
      <c r="F40" s="129"/>
      <c r="G40" s="129"/>
      <c r="H40" s="129"/>
      <c r="I40" s="129"/>
    </row>
    <row r="41" spans="1:9" ht="14" customHeight="1" x14ac:dyDescent="0.45">
      <c r="A41" s="48" t="s">
        <v>43</v>
      </c>
      <c r="B41" s="141" t="s">
        <v>64</v>
      </c>
      <c r="C41" s="56">
        <v>-21.55898876404493</v>
      </c>
      <c r="D41" s="56">
        <v>60.000000000000057</v>
      </c>
      <c r="E41" s="141" t="s">
        <v>64</v>
      </c>
      <c r="F41" s="56">
        <v>-16.341579448144639</v>
      </c>
      <c r="G41" s="56">
        <v>31.691717300927323</v>
      </c>
      <c r="H41" s="56">
        <v>-49.600518246599002</v>
      </c>
      <c r="I41" s="60">
        <v>7.5824716888232668</v>
      </c>
    </row>
    <row r="42" spans="1:9" ht="14" customHeight="1" x14ac:dyDescent="0.45">
      <c r="A42" s="57" t="s">
        <v>44</v>
      </c>
      <c r="B42" s="58">
        <v>16.170763260025844</v>
      </c>
      <c r="C42" s="58">
        <v>29.988465974625143</v>
      </c>
      <c r="D42" s="58">
        <v>25.894988066825732</v>
      </c>
      <c r="E42" s="58">
        <v>15.32404603270745</v>
      </c>
      <c r="F42" s="58">
        <v>39.654067905188995</v>
      </c>
      <c r="G42" s="63">
        <v>11.623616236162349</v>
      </c>
      <c r="H42" s="58">
        <v>38.142707240293802</v>
      </c>
      <c r="I42" s="58">
        <v>23.896809232858129</v>
      </c>
    </row>
    <row r="43" spans="1:9" ht="14" customHeight="1" x14ac:dyDescent="0.45">
      <c r="A43" s="48" t="s">
        <v>52</v>
      </c>
      <c r="B43" s="60">
        <v>10.867329448063078</v>
      </c>
      <c r="C43" s="56">
        <v>0.17862459065198788</v>
      </c>
      <c r="D43" s="56">
        <v>22.60127931769722</v>
      </c>
      <c r="E43" s="56">
        <v>2.9186320754716943</v>
      </c>
      <c r="F43" s="56">
        <v>29.096045197740096</v>
      </c>
      <c r="G43" s="56">
        <v>26.637362637362692</v>
      </c>
      <c r="H43" s="56">
        <v>-8.5683297180043301</v>
      </c>
      <c r="I43" s="56">
        <v>8.6593239650588849</v>
      </c>
    </row>
    <row r="44" spans="1:9" ht="14" customHeight="1" x14ac:dyDescent="0.45">
      <c r="A44" s="57" t="s">
        <v>45</v>
      </c>
      <c r="B44" s="58">
        <v>18.912621359223269</v>
      </c>
      <c r="C44" s="58">
        <v>-16.439205955335002</v>
      </c>
      <c r="D44" s="58">
        <v>-12.489706286028001</v>
      </c>
      <c r="E44" s="58">
        <v>-4.1166380789022021</v>
      </c>
      <c r="F44" s="58">
        <v>-3.8182696955050499</v>
      </c>
      <c r="G44" s="58">
        <v>-18.235294117647005</v>
      </c>
      <c r="H44" s="58">
        <v>-13.769655758606014</v>
      </c>
      <c r="I44" s="58">
        <v>-3.105263157894711</v>
      </c>
    </row>
    <row r="45" spans="1:9" ht="14" customHeight="1" x14ac:dyDescent="0.45">
      <c r="A45" s="66" t="s">
        <v>46</v>
      </c>
      <c r="B45" s="67">
        <v>-32.700993676603439</v>
      </c>
      <c r="C45" s="67">
        <v>-54.924151215988424</v>
      </c>
      <c r="D45" s="67">
        <v>-25.03992334717341</v>
      </c>
      <c r="E45" s="67">
        <v>-23.627809722948236</v>
      </c>
      <c r="F45" s="67">
        <v>-51.28763148349654</v>
      </c>
      <c r="G45" s="67">
        <v>-35.894764261526454</v>
      </c>
      <c r="H45" s="67">
        <v>-49.013367281986007</v>
      </c>
      <c r="I45" s="67">
        <v>-52.998204667863568</v>
      </c>
    </row>
    <row r="46" spans="1:9" x14ac:dyDescent="0.45">
      <c r="A46" s="68"/>
      <c r="B46" s="78"/>
      <c r="C46" s="78"/>
      <c r="D46" s="78"/>
      <c r="E46" s="78"/>
      <c r="F46" s="78"/>
      <c r="G46" s="78"/>
      <c r="H46" s="78"/>
      <c r="I46" s="78"/>
    </row>
    <row r="47" spans="1:9" x14ac:dyDescent="0.45">
      <c r="A47" s="68" t="s">
        <v>12</v>
      </c>
      <c r="B47" s="69"/>
      <c r="C47" s="70"/>
      <c r="D47" s="70"/>
      <c r="E47" s="69"/>
      <c r="F47" s="70"/>
      <c r="G47" s="70"/>
      <c r="H47" s="70"/>
      <c r="I47" s="70"/>
    </row>
    <row r="48" spans="1:9" x14ac:dyDescent="0.45">
      <c r="A48" s="71" t="s">
        <v>53</v>
      </c>
      <c r="B48" s="71"/>
      <c r="C48" s="71"/>
      <c r="D48" s="71"/>
      <c r="E48" s="71"/>
      <c r="F48" s="71"/>
      <c r="G48" s="71"/>
      <c r="H48" s="71"/>
      <c r="I48" s="71"/>
    </row>
    <row r="49" spans="1:9" x14ac:dyDescent="0.45">
      <c r="A49" s="72" t="s">
        <v>14</v>
      </c>
      <c r="B49" s="69"/>
      <c r="C49" s="70"/>
      <c r="D49" s="70"/>
      <c r="E49" s="69"/>
      <c r="F49" s="70"/>
      <c r="G49" s="70"/>
      <c r="H49" s="70"/>
      <c r="I49" s="70"/>
    </row>
    <row r="50" spans="1:9" x14ac:dyDescent="0.45">
      <c r="A50" s="73" t="s">
        <v>15</v>
      </c>
      <c r="B50" s="74"/>
      <c r="C50" s="74"/>
      <c r="D50" s="74"/>
      <c r="E50" s="74"/>
      <c r="F50" s="74"/>
      <c r="G50" s="74"/>
      <c r="H50" s="74"/>
      <c r="I50" s="74"/>
    </row>
    <row r="51" spans="1:9" x14ac:dyDescent="0.45">
      <c r="A51" s="73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5" t="str">
        <f>+Índice!A14</f>
        <v>Fecha de actualización: 9 de noviembre de 2023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3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3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3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Anexo 1</vt:lpstr>
      <vt:lpstr>Anexo 2</vt:lpstr>
      <vt:lpstr>Anexo 3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LMChaparroC</dc:creator>
  <cp:lastModifiedBy>Elsa Beatriz Hernandez Gomez</cp:lastModifiedBy>
  <cp:lastPrinted>2018-10-02T21:35:14Z</cp:lastPrinted>
  <dcterms:created xsi:type="dcterms:W3CDTF">2007-01-25T17:17:56Z</dcterms:created>
  <dcterms:modified xsi:type="dcterms:W3CDTF">2023-11-02T13:17:37Z</dcterms:modified>
</cp:coreProperties>
</file>